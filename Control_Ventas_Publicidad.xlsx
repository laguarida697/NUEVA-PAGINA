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Calculadora" sheetId="3" state="visible" r:id="rId5"/>
    <sheet name="Productos" sheetId="4" state="visible" r:id="rId6"/>
    <sheet name="Movimientos" sheetId="5" state="visible" r:id="rId7"/>
    <sheet name="Publicid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<sst xmlns="http://schemas.openxmlformats.org/spreadsheetml/2006/main" count="184" uniqueCount="161">
  <si>
    <t xml:space="preserve">Control de Ventas y Publicidad</t>
  </si>
  <si>
    <t xml:space="preserve">Plantilla para tu tienda online: calcula márgenes, organiza tus páginas de producto y controla tus movimientos</t>
  </si>
  <si>
    <t xml:space="preserve">CÓMO USARLA</t>
  </si>
  <si>
    <t xml:space="preserve">1. Calculadora</t>
  </si>
  <si>
    <t xml:space="preserve">Mete precio, costo, flete y comisiones de UN producto. Te dice tu utilidad, margen, cuánto puedes gastar en publicidad por venta (CPA) y el ROAS mínimo para no perder.</t>
  </si>
  <si>
    <t xml:space="preserve">2. Productos</t>
  </si>
  <si>
    <t xml:space="preserve">Una fila por cada página/producto que publiques: estado, link, precio, costos. Calcula solo el margen y el CPA máximo.</t>
  </si>
  <si>
    <t xml:space="preserve">3. Movimientos</t>
  </si>
  <si>
    <t xml:space="preserve">Anota cada venta, gasto de publicidad, flete, compra de mercancía, devolución, etc. Todo se suma solo.</t>
  </si>
  <si>
    <t xml:space="preserve">4. Publicidad</t>
  </si>
  <si>
    <t xml:space="preserve">Registra tus campañas (Meta, TikTok, Google). Calcula CTR, CPC, CPA, ROAS y si ganas o pierdes.</t>
  </si>
  <si>
    <t xml:space="preserve">5. Resumen</t>
  </si>
  <si>
    <t xml:space="preserve">Panel con tus totales y la utilidad por producto. No necesitas escribir nada aquí.</t>
  </si>
  <si>
    <t xml:space="preserve">COLORES</t>
  </si>
  <si>
    <t xml:space="preserve">Celda amarilla con letra azul</t>
  </si>
  <si>
    <t xml:space="preserve">Aquí SÍ escribes. Todo lo demás son fórmulas: no lo borres.</t>
  </si>
  <si>
    <t xml:space="preserve">Filas de ejemplo</t>
  </si>
  <si>
    <t xml:space="preserve">Cada hoja trae filas de ejemplo (productos y datos inventados). Bórralas / sustitúyelas por las tuyas.</t>
  </si>
  <si>
    <t xml:space="preserve">MONEDA</t>
  </si>
  <si>
    <t xml:space="preserve">Los formatos usan el signo $. Puedes usar tu moneda; las fórmulas no cambian.</t>
  </si>
  <si>
    <t xml:space="preserve">Resumen general</t>
  </si>
  <si>
    <t xml:space="preserve">Se actualiza solo con lo que anotes en Movimientos y Publicidad.</t>
  </si>
  <si>
    <t xml:space="preserve">TOTALES (Movimientos)</t>
  </si>
  <si>
    <t xml:space="preserve">Ventas (ingresos)</t>
  </si>
  <si>
    <t xml:space="preserve">Compra de mercancía</t>
  </si>
  <si>
    <t xml:space="preserve">Publicidad</t>
  </si>
  <si>
    <t xml:space="preserve">Fletes</t>
  </si>
  <si>
    <t xml:space="preserve">Devoluciones</t>
  </si>
  <si>
    <t xml:space="preserve">Comisiones</t>
  </si>
  <si>
    <t xml:space="preserve">Herramientas / apps</t>
  </si>
  <si>
    <t xml:space="preserve">Otros gastos</t>
  </si>
  <si>
    <t xml:space="preserve">Total gastos</t>
  </si>
  <si>
    <t xml:space="preserve">UTILIDAD (ingresos – gastos)</t>
  </si>
  <si>
    <t xml:space="preserve">Margen sobre ventas %</t>
  </si>
  <si>
    <t xml:space="preserve">Publicidad como % de ventas</t>
  </si>
  <si>
    <t xml:space="preserve">ROAS real (ventas / publicidad)</t>
  </si>
  <si>
    <t xml:space="preserve">POR PRODUCTO</t>
  </si>
  <si>
    <t xml:space="preserve">Producto</t>
  </si>
  <si>
    <t xml:space="preserve">Ingresos</t>
  </si>
  <si>
    <t xml:space="preserve">Gastos totales</t>
  </si>
  <si>
    <t xml:space="preserve">Utilidad</t>
  </si>
  <si>
    <t xml:space="preserve">Margen %</t>
  </si>
  <si>
    <t xml:space="preserve">Estado de la página</t>
  </si>
  <si>
    <t xml:space="preserve">Calculadora de ganancias</t>
  </si>
  <si>
    <t xml:space="preserve">Escribe en las celdas amarillas. Todo lo demás se calcula solo.</t>
  </si>
  <si>
    <t xml:space="preserve">1) DATOS DE TU PRODUCTO (por unidad)</t>
  </si>
  <si>
    <t xml:space="preserve">Precio de venta</t>
  </si>
  <si>
    <t xml:space="preserve">Lo que paga tu cliente</t>
  </si>
  <si>
    <t xml:space="preserve">Costo del producto</t>
  </si>
  <si>
    <t xml:space="preserve">Lo que te cuesta a ti</t>
  </si>
  <si>
    <t xml:space="preserve">Flete / envío al cliente</t>
  </si>
  <si>
    <t xml:space="preserve">Costo de envío que pagas tú</t>
  </si>
  <si>
    <t xml:space="preserve">Empaque / otros costos</t>
  </si>
  <si>
    <t xml:space="preserve">Caja, etiqueta, bolsa...</t>
  </si>
  <si>
    <t xml:space="preserve">Comisión pasarela de pago %</t>
  </si>
  <si>
    <t xml:space="preserve">Shopify Payments/PayPal/Stripe ≈ 3–5%</t>
  </si>
  <si>
    <t xml:space="preserve">Comisión fija por transacción</t>
  </si>
  <si>
    <t xml:space="preserve">Ej. $0.30 por pago con tarjeta (pon 0 si no aplica)</t>
  </si>
  <si>
    <t xml:space="preserve">% de devoluciones / cancelaciones</t>
  </si>
  <si>
    <t xml:space="preserve">Estima el % de pedidos que se devuelven</t>
  </si>
  <si>
    <t xml:space="preserve">Costo de devolución (por pedido devuelto)</t>
  </si>
  <si>
    <t xml:space="preserve">Flete perdido + producto dañado</t>
  </si>
  <si>
    <t xml:space="preserve">2) RESULTADO POR VENTA</t>
  </si>
  <si>
    <t xml:space="preserve">Comisión pasarela ($)</t>
  </si>
  <si>
    <t xml:space="preserve">Costo esperado por devoluciones ($)</t>
  </si>
  <si>
    <t xml:space="preserve">Costos totales (sin publicidad)</t>
  </si>
  <si>
    <t xml:space="preserve">Utilidad ANTES de publicidad</t>
  </si>
  <si>
    <t xml:space="preserve">Margen antes de publicidad %</t>
  </si>
  <si>
    <t xml:space="preserve">Markup (utilidad / costo del producto)</t>
  </si>
  <si>
    <t xml:space="preserve">3) ¿CUÁNTO PUEDO GASTAR EN PUBLICIDAD?</t>
  </si>
  <si>
    <t xml:space="preserve">Margen de ganancia que quiero conservar % (neto)</t>
  </si>
  <si>
    <t xml:space="preserve">Ej. 20% del precio de venta como ganancia final</t>
  </si>
  <si>
    <t xml:space="preserve">CPA máximo (punto de equilibrio)</t>
  </si>
  <si>
    <t xml:space="preserve">Si pagas más que esto por cada venta, PIERDES dinero</t>
  </si>
  <si>
    <t xml:space="preserve">ROAS mínimo (punto de equilibrio)</t>
  </si>
  <si>
    <t xml:space="preserve">Tu campaña debe superar este ROAS</t>
  </si>
  <si>
    <t xml:space="preserve">CPA objetivo (con la ganancia que quiero)</t>
  </si>
  <si>
    <t xml:space="preserve">Cuánto gastar por venta para ganar lo que quieres</t>
  </si>
  <si>
    <t xml:space="preserve">ROAS objetivo</t>
  </si>
  <si>
    <t xml:space="preserve">ROAS que necesitas para tu ganancia deseada</t>
  </si>
  <si>
    <t xml:space="preserve">Ganancia final por venta (con CPA objetivo)</t>
  </si>
  <si>
    <t xml:space="preserve">4) PROYECCIÓN DEL MES</t>
  </si>
  <si>
    <t xml:space="preserve">Presupuesto de publicidad del mes</t>
  </si>
  <si>
    <t xml:space="preserve">CPA que esperas conseguir (costo por venta)</t>
  </si>
  <si>
    <t xml:space="preserve">Ventas estimadas (unidades)</t>
  </si>
  <si>
    <t xml:space="preserve">Ingresos estimados</t>
  </si>
  <si>
    <t xml:space="preserve">Utilidad antes de publicidad</t>
  </si>
  <si>
    <t xml:space="preserve">Utilidad NETA (después de publicidad)</t>
  </si>
  <si>
    <t xml:space="preserve">ROAS esperado</t>
  </si>
  <si>
    <t xml:space="preserve">ROI (utilidad neta / publicidad)</t>
  </si>
  <si>
    <t xml:space="preserve">Presupuesto diario sugerido (30 días)</t>
  </si>
  <si>
    <t xml:space="preserve">Fuentes de los supuestos: todos los valores de ejemplo son inventados por mí; sustitúyelos por los de tu proveedor, tu pasarela y tus campañas reales.</t>
  </si>
  <si>
    <t xml:space="preserve">Mis páginas / productos</t>
  </si>
  <si>
    <t xml:space="preserve">Una fila por página publicada. Amarillo = tú escribes. Margen y CPA máximo se calculan solos.</t>
  </si>
  <si>
    <t xml:space="preserve">#</t>
  </si>
  <si>
    <t xml:space="preserve">Link de la página</t>
  </si>
  <si>
    <t xml:space="preserve">Estado</t>
  </si>
  <si>
    <t xml:space="preserve">Fecha publicación</t>
  </si>
  <si>
    <t xml:space="preserve">Precio venta</t>
  </si>
  <si>
    <t xml:space="preserve">Costo producto</t>
  </si>
  <si>
    <t xml:space="preserve">Flete / envío</t>
  </si>
  <si>
    <t xml:space="preserve">Comisión pasarela %</t>
  </si>
  <si>
    <t xml:space="preserve">ROAS mínimo</t>
  </si>
  <si>
    <t xml:space="preserve">Plataforma de anuncios</t>
  </si>
  <si>
    <t xml:space="preserve">Presupuesto diario</t>
  </si>
  <si>
    <t xml:space="preserve">Notas / siguiente paso</t>
  </si>
  <si>
    <t xml:space="preserve">Masajeador de cuello</t>
  </si>
  <si>
    <t xml:space="preserve">https://mitienda.com/masajeador</t>
  </si>
  <si>
    <t xml:space="preserve">Publicada</t>
  </si>
  <si>
    <t xml:space="preserve">Meta</t>
  </si>
  <si>
    <t xml:space="preserve">Probar video UGC nuevo</t>
  </si>
  <si>
    <t xml:space="preserve">Lámpara LED lunar</t>
  </si>
  <si>
    <t xml:space="preserve">https://mitienda.com/lampara</t>
  </si>
  <si>
    <t xml:space="preserve">En creación</t>
  </si>
  <si>
    <t xml:space="preserve">TikTok</t>
  </si>
  <si>
    <t xml:space="preserve">Falta generar imágenes</t>
  </si>
  <si>
    <t xml:space="preserve">Organizador de cocina</t>
  </si>
  <si>
    <t xml:space="preserve">Idea</t>
  </si>
  <si>
    <t xml:space="preserve">Investigar competencia</t>
  </si>
  <si>
    <t xml:space="preserve">Nota: los precios, costos y comisión de los ejemplos son inventados. Comisión pasarela ≈ 4% es un valor típico (Shopify Payments/PayPal), cámbialo por el tuyo.</t>
  </si>
  <si>
    <t xml:space="preserve">Mis movimientos</t>
  </si>
  <si>
    <t xml:space="preserve">Anota cada ingreso y gasto. Ingreso = dinero que entra; Egreso = dinero que sale.</t>
  </si>
  <si>
    <t xml:space="preserve">Fecha</t>
  </si>
  <si>
    <t xml:space="preserve">Tipo</t>
  </si>
  <si>
    <t xml:space="preserve">Descripción</t>
  </si>
  <si>
    <t xml:space="preserve">Ingreso</t>
  </si>
  <si>
    <t xml:space="preserve">Egreso</t>
  </si>
  <si>
    <t xml:space="preserve">Balance acumulado</t>
  </si>
  <si>
    <t xml:space="preserve">Venta</t>
  </si>
  <si>
    <t xml:space="preserve">Pedido #1001</t>
  </si>
  <si>
    <t xml:space="preserve">Meta Ads - día 1</t>
  </si>
  <si>
    <t xml:space="preserve">Lote 20 unidades</t>
  </si>
  <si>
    <t xml:space="preserve">Flete</t>
  </si>
  <si>
    <t xml:space="preserve">Envío pedido #1001</t>
  </si>
  <si>
    <t xml:space="preserve">Pedido #1002</t>
  </si>
  <si>
    <t xml:space="preserve">Control de campañas de publicidad</t>
  </si>
  <si>
    <t xml:space="preserve">Registra el rendimiento de cada campaña/día. CTR, CPC, CPA y ROAS se calculan solos.</t>
  </si>
  <si>
    <t xml:space="preserve">Plataforma</t>
  </si>
  <si>
    <t xml:space="preserve">Campaña / anuncio</t>
  </si>
  <si>
    <t xml:space="preserve">Gasto</t>
  </si>
  <si>
    <t xml:space="preserve">Impresiones</t>
  </si>
  <si>
    <t xml:space="preserve">Clics</t>
  </si>
  <si>
    <t xml:space="preserve">Ventas (#)</t>
  </si>
  <si>
    <t xml:space="preserve">Ingresos por ventas</t>
  </si>
  <si>
    <t xml:space="preserve">CTR</t>
  </si>
  <si>
    <t xml:space="preserve">CPC</t>
  </si>
  <si>
    <t xml:space="preserve">CPA</t>
  </si>
  <si>
    <t xml:space="preserve">ROAS</t>
  </si>
  <si>
    <t xml:space="preserve">Resultado</t>
  </si>
  <si>
    <t xml:space="preserve">Decisión sugerida</t>
  </si>
  <si>
    <t xml:space="preserve">IDEAS PARA TU PUBLICIDAD</t>
  </si>
  <si>
    <t xml:space="preserve">Video UGC 1</t>
  </si>
  <si>
    <t xml:space="preserve">1. Empieza con 3–5 videos cortos (UGC, demo del producto, antes/después) y mide cuál gana.</t>
  </si>
  <si>
    <t xml:space="preserve">2. Prueba cada anuncio con 2–3x tu CPA máximo antes de decidir si sirve.</t>
  </si>
  <si>
    <t xml:space="preserve">Demo 15s</t>
  </si>
  <si>
    <t xml:space="preserve">3. Regla de la hoja: ROAS ≥ 3 escalar; 1.5–3 mejorar creativo; &lt; 1.5 pausar.</t>
  </si>
  <si>
    <t xml:space="preserve">4. Escala subiendo el presupuesto 20–30% cada 2–3 días, no de golpe.</t>
  </si>
  <si>
    <t xml:space="preserve">5. Meta: segmentación amplia + buen creativo. TikTok: gancho en los primeros 3 segundos.</t>
  </si>
  <si>
    <t xml:space="preserve">6. Reutiliza los mejores anuncios con otro gancho/texto; guarda las reseñas de clientes.</t>
  </si>
  <si>
    <t xml:space="preserve">7. Activa remarketing (visitantes que no compraron) con 10–20% del presupuesto.</t>
  </si>
  <si>
    <t xml:space="preserve">8. Revisa que el ROAS mínimo (Calculadora) sea menor que tu ROAS real.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</si>
</sst>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0\x"/>
    <numFmt numFmtId="168" formatCode="0.0%"/>
    <numFmt numFmtId="169" formatCode="#,##0.0"/>
    <numFmt numFmtId="170" formatCode="dd/mm/yyyy"/>
    <numFmt numFmtId="171" formatCode="#,##0"/>
    <numFmt numFmtId="172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B050"/>
      </font>
    </dxf>
    <dxf>
      <font>
        <name val="Arial"/>
        <charset val="1"/>
        <family val="0"/>
        <color rgb="FFC00000"/>
      </font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color rgb="FF00B05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31.5" hidden="false" customHeight="true" outlineLevel="0" collapsed="false">
      <c r="A5" s="5" t="s">
        <v>3</v>
      </c>
      <c r="B5" s="6" t="s">
        <v>4</v>
      </c>
    </row>
    <row r="6" customFormat="false" ht="31.5" hidden="false" customHeight="true" outlineLevel="0" collapsed="false">
      <c r="A6" s="5" t="s">
        <v>5</v>
      </c>
      <c r="B6" s="6" t="s">
        <v>6</v>
      </c>
    </row>
    <row r="7" customFormat="false" ht="31.5" hidden="false" customHeight="true" outlineLevel="0" collapsed="false">
      <c r="A7" s="5" t="s">
        <v>7</v>
      </c>
      <c r="B7" s="6" t="s">
        <v>8</v>
      </c>
    </row>
    <row r="8" customFormat="false" ht="31.5" hidden="false" customHeight="true" outlineLevel="0" collapsed="false">
      <c r="A8" s="5" t="s">
        <v>9</v>
      </c>
      <c r="B8" s="6" t="s">
        <v>10</v>
      </c>
    </row>
    <row r="9" customFormat="false" ht="31.5" hidden="false" customHeight="tru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3" t="s">
        <v>13</v>
      </c>
      <c r="B10" s="4"/>
    </row>
    <row r="11" customFormat="false" ht="31.5" hidden="false" customHeight="true" outlineLevel="0" collapsed="false">
      <c r="A11" s="5" t="s">
        <v>14</v>
      </c>
      <c r="B11" s="6" t="s">
        <v>15</v>
      </c>
    </row>
    <row r="12" customFormat="false" ht="31.5" hidden="false" customHeight="true" outlineLevel="0" collapsed="false">
      <c r="A12" s="5" t="s">
        <v>16</v>
      </c>
      <c r="B12" s="6" t="s">
        <v>17</v>
      </c>
    </row>
    <row r="13" customFormat="false" ht="31.5" hidden="false" customHeight="true" outlineLevel="0" collapsed="false">
      <c r="A13" s="5" t="s">
        <v>18</v>
      </c>
      <c r="B13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3" t="s">
        <v>22</v>
      </c>
      <c r="B4" s="4"/>
      <c r="C4" s="4"/>
    </row>
    <row r="5" customFormat="false" ht="15" hidden="false" customHeight="false" outlineLevel="0" collapsed="false">
      <c r="A5" s="7" t="s">
        <v>23</v>
      </c>
      <c r="B5" s="8" t="n">
        <f aca="false">SUM(Movimientos!$E$5:$E$504)</f>
        <v>79.98</v>
      </c>
    </row>
    <row r="6" customFormat="false" ht="15" hidden="false" customHeight="false" outlineLevel="0" collapsed="false">
      <c r="A6" s="7" t="s">
        <v>24</v>
      </c>
      <c r="B6" s="8" t="n">
        <f aca="false">SUMIFS(Movimientos!$F$5:$F$504,Movimientos!$B$5:$B$504,"Compra de mercancía")</f>
        <v>240</v>
      </c>
    </row>
    <row r="7" customFormat="false" ht="15" hidden="false" customHeight="false" outlineLevel="0" collapsed="false">
      <c r="A7" s="7" t="s">
        <v>25</v>
      </c>
      <c r="B7" s="8" t="n">
        <f aca="false">SUMIFS(Movimientos!$F$5:$F$504,Movimientos!$B$5:$B$504,"Publicidad")</f>
        <v>15</v>
      </c>
    </row>
    <row r="8" customFormat="false" ht="15" hidden="false" customHeight="false" outlineLevel="0" collapsed="false">
      <c r="A8" s="7" t="s">
        <v>26</v>
      </c>
      <c r="B8" s="8" t="n">
        <f aca="false">SUMIFS(Movimientos!$F$5:$F$504,Movimientos!$B$5:$B$504,"Flete")</f>
        <v>5</v>
      </c>
    </row>
    <row r="9" customFormat="false" ht="15" hidden="false" customHeight="false" outlineLevel="0" collapsed="false">
      <c r="A9" s="7" t="s">
        <v>27</v>
      </c>
      <c r="B9" s="8" t="n">
        <f aca="false">SUMIFS(Movimientos!$F$5:$F$504,Movimientos!$B$5:$B$504,"Devolución")</f>
        <v>0</v>
      </c>
    </row>
    <row r="10" customFormat="false" ht="15" hidden="false" customHeight="false" outlineLevel="0" collapsed="false">
      <c r="A10" s="7" t="s">
        <v>28</v>
      </c>
      <c r="B10" s="8" t="n">
        <f aca="false">SUMIFS(Movimientos!$F$5:$F$504,Movimientos!$B$5:$B$504,"Comisión")</f>
        <v>0</v>
      </c>
    </row>
    <row r="11" customFormat="false" ht="15" hidden="false" customHeight="false" outlineLevel="0" collapsed="false">
      <c r="A11" s="7" t="s">
        <v>29</v>
      </c>
      <c r="B11" s="8" t="n">
        <f aca="false">SUMIFS(Movimientos!$F$5:$F$504,Movimientos!$B$5:$B$504,"Herramientas/Apps")</f>
        <v>0</v>
      </c>
    </row>
    <row r="12" customFormat="false" ht="15" hidden="false" customHeight="false" outlineLevel="0" collapsed="false">
      <c r="A12" s="7" t="s">
        <v>30</v>
      </c>
      <c r="B12" s="8" t="n">
        <f aca="false">SUMIFS(Movimientos!$F$5:$F$504,Movimientos!$B$5:$B$504,"Otro")</f>
        <v>0</v>
      </c>
    </row>
    <row r="13" customFormat="false" ht="15" hidden="false" customHeight="false" outlineLevel="0" collapsed="false">
      <c r="A13" s="9" t="s">
        <v>31</v>
      </c>
      <c r="B13" s="10" t="n">
        <f aca="false">SUM(Movimientos!$F$5:$F$504)</f>
        <v>260</v>
      </c>
    </row>
    <row r="14" customFormat="false" ht="15" hidden="false" customHeight="false" outlineLevel="0" collapsed="false">
      <c r="A14" s="9" t="s">
        <v>32</v>
      </c>
      <c r="B14" s="10" t="n">
        <f aca="false">B5-B13</f>
        <v>-180.02</v>
      </c>
    </row>
    <row r="15" customFormat="false" ht="15" hidden="false" customHeight="false" outlineLevel="0" collapsed="false">
      <c r="A15" s="7" t="s">
        <v>33</v>
      </c>
      <c r="B15" s="11" t="n">
        <f aca="false">IF(B5=0,0,B14/B5)</f>
        <v>-2.25081270317579</v>
      </c>
    </row>
    <row r="16" customFormat="false" ht="15" hidden="false" customHeight="false" outlineLevel="0" collapsed="false">
      <c r="A16" s="7" t="s">
        <v>34</v>
      </c>
      <c r="B16" s="11" t="n">
        <f aca="false">IF(B5=0,0,B7/B5)</f>
        <v>0.18754688672168</v>
      </c>
    </row>
    <row r="17" customFormat="false" ht="15" hidden="false" customHeight="false" outlineLevel="0" collapsed="false">
      <c r="A17" s="7" t="s">
        <v>35</v>
      </c>
      <c r="B17" s="12" t="n">
        <f aca="false">IF(B7=0,0,B5/B7)</f>
        <v>5.332</v>
      </c>
    </row>
    <row r="20" customFormat="false" ht="15" hidden="false" customHeight="false" outlineLevel="0" collapsed="false">
      <c r="A20" s="3" t="s">
        <v>36</v>
      </c>
      <c r="B20" s="4"/>
      <c r="C20" s="4"/>
      <c r="D20" s="4"/>
      <c r="E20" s="4"/>
      <c r="F20" s="4"/>
      <c r="G20" s="4"/>
      <c r="H20" s="4"/>
    </row>
    <row r="21" customFormat="false" ht="31.5" hidden="false" customHeight="true" outlineLevel="0" collapsed="false">
      <c r="A21" s="13" t="s">
        <v>37</v>
      </c>
      <c r="B21" s="13" t="s">
        <v>38</v>
      </c>
      <c r="C21" s="13" t="s">
        <v>39</v>
      </c>
      <c r="D21" s="13" t="s">
        <v>25</v>
      </c>
      <c r="E21" s="13" t="s">
        <v>40</v>
      </c>
      <c r="F21" s="13" t="s">
        <v>41</v>
      </c>
      <c r="G21" s="13" t="s">
        <v>42</v>
      </c>
    </row>
    <row r="22" customFormat="false" ht="15" hidden="false" customHeight="false" outlineLevel="0" collapsed="false">
      <c r="A22" s="14" t="str">
        <f aca="false">IF(Productos!B5="","",Productos!B5)</f>
        <v>Masajeador de cuello</v>
      </c>
      <c r="B22" s="8" t="n">
        <f aca="false">IF(A22="","",SUMIFS(Movimientos!$E$5:$E$504,Movimientos!$C$5:$C$504,A22))</f>
        <v>79.98</v>
      </c>
      <c r="C22" s="8" t="n">
        <f aca="false">IF(A22="","",SUMIFS(Movimientos!$F$5:$F$504,Movimientos!$C$5:$C$504,A22))</f>
        <v>260</v>
      </c>
      <c r="D22" s="8" t="n">
        <f aca="false">IF(A22="","",SUMIFS(Movimientos!$F$5:$F$504,Movimientos!$C$5:$C$504,A22,Movimientos!$B$5:$B$504,"Publicidad"))</f>
        <v>15</v>
      </c>
      <c r="E22" s="8" t="n">
        <f aca="false">IF(A22="","",B22-C22)</f>
        <v>-180.02</v>
      </c>
      <c r="F22" s="11" t="n">
        <f aca="false">IF(OR(A22="",B22=0),"",E22/B22)</f>
        <v>-2.25081270317579</v>
      </c>
      <c r="G22" s="14" t="str">
        <f aca="false">IF(A22="","",Productos!D5)</f>
        <v>Publicada</v>
      </c>
    </row>
    <row r="23" customFormat="false" ht="15" hidden="false" customHeight="false" outlineLevel="0" collapsed="false">
      <c r="A23" s="14" t="str">
        <f aca="false">IF(Productos!B6="","",Productos!B6)</f>
        <v>Lámpara LED lunar</v>
      </c>
      <c r="B23" s="8" t="n">
        <f aca="false">IF(A23="","",SUMIFS(Movimientos!$E$5:$E$504,Movimientos!$C$5:$C$504,A23))</f>
        <v>0</v>
      </c>
      <c r="C23" s="8" t="n">
        <f aca="false">IF(A23="","",SUMIFS(Movimientos!$F$5:$F$504,Movimientos!$C$5:$C$504,A23))</f>
        <v>0</v>
      </c>
      <c r="D23" s="8" t="n">
        <f aca="false">IF(A23="","",SUMIFS(Movimientos!$F$5:$F$504,Movimientos!$C$5:$C$504,A23,Movimientos!$B$5:$B$504,"Publicidad"))</f>
        <v>0</v>
      </c>
      <c r="E23" s="8" t="n">
        <f aca="false">IF(A23="","",B23-C23)</f>
        <v>0</v>
      </c>
      <c r="F23" s="11" t="str">
        <f aca="false">IF(OR(A23="",B23=0),"",E23/B23)</f>
        <v/>
      </c>
      <c r="G23" s="14" t="str">
        <f aca="false">IF(A23="","",Productos!D6)</f>
        <v>En creación</v>
      </c>
    </row>
    <row r="24" customFormat="false" ht="15" hidden="false" customHeight="false" outlineLevel="0" collapsed="false">
      <c r="A24" s="14" t="str">
        <f aca="false">IF(Productos!B7="","",Productos!B7)</f>
        <v>Organizador de cocina</v>
      </c>
      <c r="B24" s="8" t="n">
        <f aca="false">IF(A24="","",SUMIFS(Movimientos!$E$5:$E$504,Movimientos!$C$5:$C$504,A24))</f>
        <v>0</v>
      </c>
      <c r="C24" s="8" t="n">
        <f aca="false">IF(A24="","",SUMIFS(Movimientos!$F$5:$F$504,Movimientos!$C$5:$C$504,A24))</f>
        <v>0</v>
      </c>
      <c r="D24" s="8" t="n">
        <f aca="false">IF(A24="","",SUMIFS(Movimientos!$F$5:$F$504,Movimientos!$C$5:$C$504,A24,Movimientos!$B$5:$B$504,"Publicidad"))</f>
        <v>0</v>
      </c>
      <c r="E24" s="8" t="n">
        <f aca="false">IF(A24="","",B24-C24)</f>
        <v>0</v>
      </c>
      <c r="F24" s="11" t="str">
        <f aca="false">IF(OR(A24="",B24=0),"",E24/B24)</f>
        <v/>
      </c>
      <c r="G24" s="14" t="str">
        <f aca="false">IF(A24="","",Productos!D7)</f>
        <v>Idea</v>
      </c>
    </row>
    <row r="25" customFormat="false" ht="15" hidden="false" customHeight="false" outlineLevel="0" collapsed="false">
      <c r="A25" s="14" t="str">
        <f aca="false">IF(Productos!B8="","",Productos!B8)</f>
        <v/>
      </c>
      <c r="B25" s="8" t="str">
        <f aca="false">IF(A25="","",SUMIFS(Movimientos!$E$5:$E$504,Movimientos!$C$5:$C$504,A25))</f>
        <v/>
      </c>
      <c r="C25" s="8" t="str">
        <f aca="false">IF(A25="","",SUMIFS(Movimientos!$F$5:$F$504,Movimientos!$C$5:$C$504,A25))</f>
        <v/>
      </c>
      <c r="D25" s="8" t="str">
        <f aca="false">IF(A25="","",SUMIFS(Movimientos!$F$5:$F$504,Movimientos!$C$5:$C$504,A25,Movimientos!$B$5:$B$504,"Publicidad"))</f>
        <v/>
      </c>
      <c r="E25" s="8" t="str">
        <f aca="false">IF(A25="","",B25-C25)</f>
        <v/>
      </c>
      <c r="F25" s="11" t="str">
        <f aca="false">IF(OR(A25="",B25=0),"",E25/B25)</f>
        <v/>
      </c>
      <c r="G25" s="14" t="str">
        <f aca="false">IF(A25="","",Productos!D8)</f>
        <v/>
      </c>
    </row>
    <row r="26" customFormat="false" ht="15" hidden="false" customHeight="false" outlineLevel="0" collapsed="false">
      <c r="A26" s="14" t="str">
        <f aca="false">IF(Productos!B9="","",Productos!B9)</f>
        <v/>
      </c>
      <c r="B26" s="8" t="str">
        <f aca="false">IF(A26="","",SUMIFS(Movimientos!$E$5:$E$504,Movimientos!$C$5:$C$504,A26))</f>
        <v/>
      </c>
      <c r="C26" s="8" t="str">
        <f aca="false">IF(A26="","",SUMIFS(Movimientos!$F$5:$F$504,Movimientos!$C$5:$C$504,A26))</f>
        <v/>
      </c>
      <c r="D26" s="8" t="str">
        <f aca="false">IF(A26="","",SUMIFS(Movimientos!$F$5:$F$504,Movimientos!$C$5:$C$504,A26,Movimientos!$B$5:$B$504,"Publicidad"))</f>
        <v/>
      </c>
      <c r="E26" s="8" t="str">
        <f aca="false">IF(A26="","",B26-C26)</f>
        <v/>
      </c>
      <c r="F26" s="11" t="str">
        <f aca="false">IF(OR(A26="",B26=0),"",E26/B26)</f>
        <v/>
      </c>
      <c r="G26" s="14" t="str">
        <f aca="false">IF(A26="","",Productos!D9)</f>
        <v/>
      </c>
    </row>
    <row r="27" customFormat="false" ht="15" hidden="false" customHeight="false" outlineLevel="0" collapsed="false">
      <c r="A27" s="14" t="str">
        <f aca="false">IF(Productos!B10="","",Productos!B10)</f>
        <v/>
      </c>
      <c r="B27" s="8" t="str">
        <f aca="false">IF(A27="","",SUMIFS(Movimientos!$E$5:$E$504,Movimientos!$C$5:$C$504,A27))</f>
        <v/>
      </c>
      <c r="C27" s="8" t="str">
        <f aca="false">IF(A27="","",SUMIFS(Movimientos!$F$5:$F$504,Movimientos!$C$5:$C$504,A27))</f>
        <v/>
      </c>
      <c r="D27" s="8" t="str">
        <f aca="false">IF(A27="","",SUMIFS(Movimientos!$F$5:$F$504,Movimientos!$C$5:$C$504,A27,Movimientos!$B$5:$B$504,"Publicidad"))</f>
        <v/>
      </c>
      <c r="E27" s="8" t="str">
        <f aca="false">IF(A27="","",B27-C27)</f>
        <v/>
      </c>
      <c r="F27" s="11" t="str">
        <f aca="false">IF(OR(A27="",B27=0),"",E27/B27)</f>
        <v/>
      </c>
      <c r="G27" s="14" t="str">
        <f aca="false">IF(A27="","",Productos!D10)</f>
        <v/>
      </c>
    </row>
    <row r="28" customFormat="false" ht="15" hidden="false" customHeight="false" outlineLevel="0" collapsed="false">
      <c r="A28" s="14" t="str">
        <f aca="false">IF(Productos!B11="","",Productos!B11)</f>
        <v/>
      </c>
      <c r="B28" s="8" t="str">
        <f aca="false">IF(A28="","",SUMIFS(Movimientos!$E$5:$E$504,Movimientos!$C$5:$C$504,A28))</f>
        <v/>
      </c>
      <c r="C28" s="8" t="str">
        <f aca="false">IF(A28="","",SUMIFS(Movimientos!$F$5:$F$504,Movimientos!$C$5:$C$504,A28))</f>
        <v/>
      </c>
      <c r="D28" s="8" t="str">
        <f aca="false">IF(A28="","",SUMIFS(Movimientos!$F$5:$F$504,Movimientos!$C$5:$C$504,A28,Movimientos!$B$5:$B$504,"Publicidad"))</f>
        <v/>
      </c>
      <c r="E28" s="8" t="str">
        <f aca="false">IF(A28="","",B28-C28)</f>
        <v/>
      </c>
      <c r="F28" s="11" t="str">
        <f aca="false">IF(OR(A28="",B28=0),"",E28/B28)</f>
        <v/>
      </c>
      <c r="G28" s="14" t="str">
        <f aca="false">IF(A28="","",Productos!D11)</f>
        <v/>
      </c>
    </row>
    <row r="29" customFormat="false" ht="15" hidden="false" customHeight="false" outlineLevel="0" collapsed="false">
      <c r="A29" s="14" t="str">
        <f aca="false">IF(Productos!B12="","",Productos!B12)</f>
        <v/>
      </c>
      <c r="B29" s="8" t="str">
        <f aca="false">IF(A29="","",SUMIFS(Movimientos!$E$5:$E$504,Movimientos!$C$5:$C$504,A29))</f>
        <v/>
      </c>
      <c r="C29" s="8" t="str">
        <f aca="false">IF(A29="","",SUMIFS(Movimientos!$F$5:$F$504,Movimientos!$C$5:$C$504,A29))</f>
        <v/>
      </c>
      <c r="D29" s="8" t="str">
        <f aca="false">IF(A29="","",SUMIFS(Movimientos!$F$5:$F$504,Movimientos!$C$5:$C$504,A29,Movimientos!$B$5:$B$504,"Publicidad"))</f>
        <v/>
      </c>
      <c r="E29" s="8" t="str">
        <f aca="false">IF(A29="","",B29-C29)</f>
        <v/>
      </c>
      <c r="F29" s="11" t="str">
        <f aca="false">IF(OR(A29="",B29=0),"",E29/B29)</f>
        <v/>
      </c>
      <c r="G29" s="14" t="str">
        <f aca="false">IF(A29="","",Productos!D12)</f>
        <v/>
      </c>
    </row>
    <row r="30" customFormat="false" ht="15" hidden="false" customHeight="false" outlineLevel="0" collapsed="false">
      <c r="A30" s="14" t="str">
        <f aca="false">IF(Productos!B13="","",Productos!B13)</f>
        <v/>
      </c>
      <c r="B30" s="8" t="str">
        <f aca="false">IF(A30="","",SUMIFS(Movimientos!$E$5:$E$504,Movimientos!$C$5:$C$504,A30))</f>
        <v/>
      </c>
      <c r="C30" s="8" t="str">
        <f aca="false">IF(A30="","",SUMIFS(Movimientos!$F$5:$F$504,Movimientos!$C$5:$C$504,A30))</f>
        <v/>
      </c>
      <c r="D30" s="8" t="str">
        <f aca="false">IF(A30="","",SUMIFS(Movimientos!$F$5:$F$504,Movimientos!$C$5:$C$504,A30,Movimientos!$B$5:$B$504,"Publicidad"))</f>
        <v/>
      </c>
      <c r="E30" s="8" t="str">
        <f aca="false">IF(A30="","",B30-C30)</f>
        <v/>
      </c>
      <c r="F30" s="11" t="str">
        <f aca="false">IF(OR(A30="",B30=0),"",E30/B30)</f>
        <v/>
      </c>
      <c r="G30" s="14" t="str">
        <f aca="false">IF(A30="","",Productos!D13)</f>
        <v/>
      </c>
    </row>
    <row r="31" customFormat="false" ht="15" hidden="false" customHeight="false" outlineLevel="0" collapsed="false">
      <c r="A31" s="14" t="str">
        <f aca="false">IF(Productos!B14="","",Productos!B14)</f>
        <v/>
      </c>
      <c r="B31" s="8" t="str">
        <f aca="false">IF(A31="","",SUMIFS(Movimientos!$E$5:$E$504,Movimientos!$C$5:$C$504,A31))</f>
        <v/>
      </c>
      <c r="C31" s="8" t="str">
        <f aca="false">IF(A31="","",SUMIFS(Movimientos!$F$5:$F$504,Movimientos!$C$5:$C$504,A31))</f>
        <v/>
      </c>
      <c r="D31" s="8" t="str">
        <f aca="false">IF(A31="","",SUMIFS(Movimientos!$F$5:$F$504,Movimientos!$C$5:$C$504,A31,Movimientos!$B$5:$B$504,"Publicidad"))</f>
        <v/>
      </c>
      <c r="E31" s="8" t="str">
        <f aca="false">IF(A31="","",B31-C31)</f>
        <v/>
      </c>
      <c r="F31" s="11" t="str">
        <f aca="false">IF(OR(A31="",B31=0),"",E31/B31)</f>
        <v/>
      </c>
      <c r="G31" s="14" t="str">
        <f aca="false">IF(A31="","",Productos!D14)</f>
        <v/>
      </c>
    </row>
    <row r="32" customFormat="false" ht="15" hidden="false" customHeight="false" outlineLevel="0" collapsed="false">
      <c r="A32" s="14" t="str">
        <f aca="false">IF(Productos!B15="","",Productos!B15)</f>
        <v/>
      </c>
      <c r="B32" s="8" t="str">
        <f aca="false">IF(A32="","",SUMIFS(Movimientos!$E$5:$E$504,Movimientos!$C$5:$C$504,A32))</f>
        <v/>
      </c>
      <c r="C32" s="8" t="str">
        <f aca="false">IF(A32="","",SUMIFS(Movimientos!$F$5:$F$504,Movimientos!$C$5:$C$504,A32))</f>
        <v/>
      </c>
      <c r="D32" s="8" t="str">
        <f aca="false">IF(A32="","",SUMIFS(Movimientos!$F$5:$F$504,Movimientos!$C$5:$C$504,A32,Movimientos!$B$5:$B$504,"Publicidad"))</f>
        <v/>
      </c>
      <c r="E32" s="8" t="str">
        <f aca="false">IF(A32="","",B32-C32)</f>
        <v/>
      </c>
      <c r="F32" s="11" t="str">
        <f aca="false">IF(OR(A32="",B32=0),"",E32/B32)</f>
        <v/>
      </c>
      <c r="G32" s="14" t="str">
        <f aca="false">IF(A32="","",Productos!D15)</f>
        <v/>
      </c>
    </row>
    <row r="33" customFormat="false" ht="15" hidden="false" customHeight="false" outlineLevel="0" collapsed="false">
      <c r="A33" s="14" t="str">
        <f aca="false">IF(Productos!B16="","",Productos!B16)</f>
        <v/>
      </c>
      <c r="B33" s="8" t="str">
        <f aca="false">IF(A33="","",SUMIFS(Movimientos!$E$5:$E$504,Movimientos!$C$5:$C$504,A33))</f>
        <v/>
      </c>
      <c r="C33" s="8" t="str">
        <f aca="false">IF(A33="","",SUMIFS(Movimientos!$F$5:$F$504,Movimientos!$C$5:$C$504,A33))</f>
        <v/>
      </c>
      <c r="D33" s="8" t="str">
        <f aca="false">IF(A33="","",SUMIFS(Movimientos!$F$5:$F$504,Movimientos!$C$5:$C$504,A33,Movimientos!$B$5:$B$504,"Publicidad"))</f>
        <v/>
      </c>
      <c r="E33" s="8" t="str">
        <f aca="false">IF(A33="","",B33-C33)</f>
        <v/>
      </c>
      <c r="F33" s="11" t="str">
        <f aca="false">IF(OR(A33="",B33=0),"",E33/B33)</f>
        <v/>
      </c>
      <c r="G33" s="14" t="str">
        <f aca="false">IF(A33="","",Productos!D16)</f>
        <v/>
      </c>
    </row>
    <row r="34" customFormat="false" ht="15" hidden="false" customHeight="false" outlineLevel="0" collapsed="false">
      <c r="A34" s="14" t="str">
        <f aca="false">IF(Productos!B17="","",Productos!B17)</f>
        <v/>
      </c>
      <c r="B34" s="8" t="str">
        <f aca="false">IF(A34="","",SUMIFS(Movimientos!$E$5:$E$504,Movimientos!$C$5:$C$504,A34))</f>
        <v/>
      </c>
      <c r="C34" s="8" t="str">
        <f aca="false">IF(A34="","",SUMIFS(Movimientos!$F$5:$F$504,Movimientos!$C$5:$C$504,A34))</f>
        <v/>
      </c>
      <c r="D34" s="8" t="str">
        <f aca="false">IF(A34="","",SUMIFS(Movimientos!$F$5:$F$504,Movimientos!$C$5:$C$504,A34,Movimientos!$B$5:$B$504,"Publicidad"))</f>
        <v/>
      </c>
      <c r="E34" s="8" t="str">
        <f aca="false">IF(A34="","",B34-C34)</f>
        <v/>
      </c>
      <c r="F34" s="11" t="str">
        <f aca="false">IF(OR(A34="",B34=0),"",E34/B34)</f>
        <v/>
      </c>
      <c r="G34" s="14" t="str">
        <f aca="false">IF(A34="","",Productos!D17)</f>
        <v/>
      </c>
    </row>
    <row r="35" customFormat="false" ht="15" hidden="false" customHeight="false" outlineLevel="0" collapsed="false">
      <c r="A35" s="14" t="str">
        <f aca="false">IF(Productos!B18="","",Productos!B18)</f>
        <v/>
      </c>
      <c r="B35" s="8" t="str">
        <f aca="false">IF(A35="","",SUMIFS(Movimientos!$E$5:$E$504,Movimientos!$C$5:$C$504,A35))</f>
        <v/>
      </c>
      <c r="C35" s="8" t="str">
        <f aca="false">IF(A35="","",SUMIFS(Movimientos!$F$5:$F$504,Movimientos!$C$5:$C$504,A35))</f>
        <v/>
      </c>
      <c r="D35" s="8" t="str">
        <f aca="false">IF(A35="","",SUMIFS(Movimientos!$F$5:$F$504,Movimientos!$C$5:$C$504,A35,Movimientos!$B$5:$B$504,"Publicidad"))</f>
        <v/>
      </c>
      <c r="E35" s="8" t="str">
        <f aca="false">IF(A35="","",B35-C35)</f>
        <v/>
      </c>
      <c r="F35" s="11" t="str">
        <f aca="false">IF(OR(A35="",B35=0),"",E35/B35)</f>
        <v/>
      </c>
      <c r="G35" s="14" t="str">
        <f aca="false">IF(A35="","",Productos!D18)</f>
        <v/>
      </c>
    </row>
    <row r="36" customFormat="false" ht="15" hidden="false" customHeight="false" outlineLevel="0" collapsed="false">
      <c r="A36" s="14" t="str">
        <f aca="false">IF(Productos!B19="","",Productos!B19)</f>
        <v/>
      </c>
      <c r="B36" s="8" t="str">
        <f aca="false">IF(A36="","",SUMIFS(Movimientos!$E$5:$E$504,Movimientos!$C$5:$C$504,A36))</f>
        <v/>
      </c>
      <c r="C36" s="8" t="str">
        <f aca="false">IF(A36="","",SUMIFS(Movimientos!$F$5:$F$504,Movimientos!$C$5:$C$504,A36))</f>
        <v/>
      </c>
      <c r="D36" s="8" t="str">
        <f aca="false">IF(A36="","",SUMIFS(Movimientos!$F$5:$F$504,Movimientos!$C$5:$C$504,A36,Movimientos!$B$5:$B$504,"Publicidad"))</f>
        <v/>
      </c>
      <c r="E36" s="8" t="str">
        <f aca="false">IF(A36="","",B36-C36)</f>
        <v/>
      </c>
      <c r="F36" s="11" t="str">
        <f aca="false">IF(OR(A36="",B36=0),"",E36/B36)</f>
        <v/>
      </c>
      <c r="G36" s="14" t="str">
        <f aca="false">IF(A36="","",Productos!D19)</f>
        <v/>
      </c>
    </row>
    <row r="37" customFormat="false" ht="15" hidden="false" customHeight="false" outlineLevel="0" collapsed="false">
      <c r="A37" s="14" t="str">
        <f aca="false">IF(Productos!B20="","",Productos!B20)</f>
        <v/>
      </c>
      <c r="B37" s="8" t="str">
        <f aca="false">IF(A37="","",SUMIFS(Movimientos!$E$5:$E$504,Movimientos!$C$5:$C$504,A37))</f>
        <v/>
      </c>
      <c r="C37" s="8" t="str">
        <f aca="false">IF(A37="","",SUMIFS(Movimientos!$F$5:$F$504,Movimientos!$C$5:$C$504,A37))</f>
        <v/>
      </c>
      <c r="D37" s="8" t="str">
        <f aca="false">IF(A37="","",SUMIFS(Movimientos!$F$5:$F$504,Movimientos!$C$5:$C$504,A37,Movimientos!$B$5:$B$504,"Publicidad"))</f>
        <v/>
      </c>
      <c r="E37" s="8" t="str">
        <f aca="false">IF(A37="","",B37-C37)</f>
        <v/>
      </c>
      <c r="F37" s="11" t="str">
        <f aca="false">IF(OR(A37="",B37=0),"",E37/B37)</f>
        <v/>
      </c>
      <c r="G37" s="14" t="str">
        <f aca="false">IF(A37="","",Productos!D20)</f>
        <v/>
      </c>
    </row>
    <row r="38" customFormat="false" ht="15" hidden="false" customHeight="false" outlineLevel="0" collapsed="false">
      <c r="A38" s="14" t="str">
        <f aca="false">IF(Productos!B21="","",Productos!B21)</f>
        <v/>
      </c>
      <c r="B38" s="8" t="str">
        <f aca="false">IF(A38="","",SUMIFS(Movimientos!$E$5:$E$504,Movimientos!$C$5:$C$504,A38))</f>
        <v/>
      </c>
      <c r="C38" s="8" t="str">
        <f aca="false">IF(A38="","",SUMIFS(Movimientos!$F$5:$F$504,Movimientos!$C$5:$C$504,A38))</f>
        <v/>
      </c>
      <c r="D38" s="8" t="str">
        <f aca="false">IF(A38="","",SUMIFS(Movimientos!$F$5:$F$504,Movimientos!$C$5:$C$504,A38,Movimientos!$B$5:$B$504,"Publicidad"))</f>
        <v/>
      </c>
      <c r="E38" s="8" t="str">
        <f aca="false">IF(A38="","",B38-C38)</f>
        <v/>
      </c>
      <c r="F38" s="11" t="str">
        <f aca="false">IF(OR(A38="",B38=0),"",E38/B38)</f>
        <v/>
      </c>
      <c r="G38" s="14" t="str">
        <f aca="false">IF(A38="","",Productos!D21)</f>
        <v/>
      </c>
    </row>
    <row r="39" customFormat="false" ht="15" hidden="false" customHeight="false" outlineLevel="0" collapsed="false">
      <c r="A39" s="14" t="str">
        <f aca="false">IF(Productos!B22="","",Productos!B22)</f>
        <v/>
      </c>
      <c r="B39" s="8" t="str">
        <f aca="false">IF(A39="","",SUMIFS(Movimientos!$E$5:$E$504,Movimientos!$C$5:$C$504,A39))</f>
        <v/>
      </c>
      <c r="C39" s="8" t="str">
        <f aca="false">IF(A39="","",SUMIFS(Movimientos!$F$5:$F$504,Movimientos!$C$5:$C$504,A39))</f>
        <v/>
      </c>
      <c r="D39" s="8" t="str">
        <f aca="false">IF(A39="","",SUMIFS(Movimientos!$F$5:$F$504,Movimientos!$C$5:$C$504,A39,Movimientos!$B$5:$B$504,"Publicidad"))</f>
        <v/>
      </c>
      <c r="E39" s="8" t="str">
        <f aca="false">IF(A39="","",B39-C39)</f>
        <v/>
      </c>
      <c r="F39" s="11" t="str">
        <f aca="false">IF(OR(A39="",B39=0),"",E39/B39)</f>
        <v/>
      </c>
      <c r="G39" s="14" t="str">
        <f aca="false">IF(A39="","",Productos!D22)</f>
        <v/>
      </c>
    </row>
    <row r="40" customFormat="false" ht="15" hidden="false" customHeight="false" outlineLevel="0" collapsed="false">
      <c r="A40" s="14" t="str">
        <f aca="false">IF(Productos!B23="","",Productos!B23)</f>
        <v/>
      </c>
      <c r="B40" s="8" t="str">
        <f aca="false">IF(A40="","",SUMIFS(Movimientos!$E$5:$E$504,Movimientos!$C$5:$C$504,A40))</f>
        <v/>
      </c>
      <c r="C40" s="8" t="str">
        <f aca="false">IF(A40="","",SUMIFS(Movimientos!$F$5:$F$504,Movimientos!$C$5:$C$504,A40))</f>
        <v/>
      </c>
      <c r="D40" s="8" t="str">
        <f aca="false">IF(A40="","",SUMIFS(Movimientos!$F$5:$F$504,Movimientos!$C$5:$C$504,A40,Movimientos!$B$5:$B$504,"Publicidad"))</f>
        <v/>
      </c>
      <c r="E40" s="8" t="str">
        <f aca="false">IF(A40="","",B40-C40)</f>
        <v/>
      </c>
      <c r="F40" s="11" t="str">
        <f aca="false">IF(OR(A40="",B40=0),"",E40/B40)</f>
        <v/>
      </c>
      <c r="G40" s="14" t="str">
        <f aca="false">IF(A40="","",Productos!D23)</f>
        <v/>
      </c>
    </row>
    <row r="41" customFormat="false" ht="15" hidden="false" customHeight="false" outlineLevel="0" collapsed="false">
      <c r="A41" s="14" t="str">
        <f aca="false">IF(Productos!B24="","",Productos!B24)</f>
        <v/>
      </c>
      <c r="B41" s="8" t="str">
        <f aca="false">IF(A41="","",SUMIFS(Movimientos!$E$5:$E$504,Movimientos!$C$5:$C$504,A41))</f>
        <v/>
      </c>
      <c r="C41" s="8" t="str">
        <f aca="false">IF(A41="","",SUMIFS(Movimientos!$F$5:$F$504,Movimientos!$C$5:$C$504,A41))</f>
        <v/>
      </c>
      <c r="D41" s="8" t="str">
        <f aca="false">IF(A41="","",SUMIFS(Movimientos!$F$5:$F$504,Movimientos!$C$5:$C$504,A41,Movimientos!$B$5:$B$504,"Publicidad"))</f>
        <v/>
      </c>
      <c r="E41" s="8" t="str">
        <f aca="false">IF(A41="","",B41-C41)</f>
        <v/>
      </c>
      <c r="F41" s="11" t="str">
        <f aca="false">IF(OR(A41="",B41=0),"",E41/B41)</f>
        <v/>
      </c>
      <c r="G41" s="14" t="str">
        <f aca="false">IF(A41="","",Productos!D24)</f>
        <v/>
      </c>
    </row>
    <row r="42" customFormat="false" ht="15" hidden="false" customHeight="false" outlineLevel="0" collapsed="false">
      <c r="A42" s="14" t="str">
        <f aca="false">IF(Productos!B25="","",Productos!B25)</f>
        <v/>
      </c>
      <c r="B42" s="8" t="str">
        <f aca="false">IF(A42="","",SUMIFS(Movimientos!$E$5:$E$504,Movimientos!$C$5:$C$504,A42))</f>
        <v/>
      </c>
      <c r="C42" s="8" t="str">
        <f aca="false">IF(A42="","",SUMIFS(Movimientos!$F$5:$F$504,Movimientos!$C$5:$C$504,A42))</f>
        <v/>
      </c>
      <c r="D42" s="8" t="str">
        <f aca="false">IF(A42="","",SUMIFS(Movimientos!$F$5:$F$504,Movimientos!$C$5:$C$504,A42,Movimientos!$B$5:$B$504,"Publicidad"))</f>
        <v/>
      </c>
      <c r="E42" s="8" t="str">
        <f aca="false">IF(A42="","",B42-C42)</f>
        <v/>
      </c>
      <c r="F42" s="11" t="str">
        <f aca="false">IF(OR(A42="",B42=0),"",E42/B42)</f>
        <v/>
      </c>
      <c r="G42" s="14" t="str">
        <f aca="false">IF(A42="","",Productos!D25)</f>
        <v/>
      </c>
    </row>
    <row r="43" customFormat="false" ht="15" hidden="false" customHeight="false" outlineLevel="0" collapsed="false">
      <c r="A43" s="14" t="str">
        <f aca="false">IF(Productos!B26="","",Productos!B26)</f>
        <v/>
      </c>
      <c r="B43" s="8" t="str">
        <f aca="false">IF(A43="","",SUMIFS(Movimientos!$E$5:$E$504,Movimientos!$C$5:$C$504,A43))</f>
        <v/>
      </c>
      <c r="C43" s="8" t="str">
        <f aca="false">IF(A43="","",SUMIFS(Movimientos!$F$5:$F$504,Movimientos!$C$5:$C$504,A43))</f>
        <v/>
      </c>
      <c r="D43" s="8" t="str">
        <f aca="false">IF(A43="","",SUMIFS(Movimientos!$F$5:$F$504,Movimientos!$C$5:$C$504,A43,Movimientos!$B$5:$B$504,"Publicidad"))</f>
        <v/>
      </c>
      <c r="E43" s="8" t="str">
        <f aca="false">IF(A43="","",B43-C43)</f>
        <v/>
      </c>
      <c r="F43" s="11" t="str">
        <f aca="false">IF(OR(A43="",B43=0),"",E43/B43)</f>
        <v/>
      </c>
      <c r="G43" s="14" t="str">
        <f aca="false">IF(A43="","",Productos!D26)</f>
        <v/>
      </c>
    </row>
    <row r="44" customFormat="false" ht="15" hidden="false" customHeight="false" outlineLevel="0" collapsed="false">
      <c r="A44" s="14" t="str">
        <f aca="false">IF(Productos!B27="","",Productos!B27)</f>
        <v/>
      </c>
      <c r="B44" s="8" t="str">
        <f aca="false">IF(A44="","",SUMIFS(Movimientos!$E$5:$E$504,Movimientos!$C$5:$C$504,A44))</f>
        <v/>
      </c>
      <c r="C44" s="8" t="str">
        <f aca="false">IF(A44="","",SUMIFS(Movimientos!$F$5:$F$504,Movimientos!$C$5:$C$504,A44))</f>
        <v/>
      </c>
      <c r="D44" s="8" t="str">
        <f aca="false">IF(A44="","",SUMIFS(Movimientos!$F$5:$F$504,Movimientos!$C$5:$C$504,A44,Movimientos!$B$5:$B$504,"Publicidad"))</f>
        <v/>
      </c>
      <c r="E44" s="8" t="str">
        <f aca="false">IF(A44="","",B44-C44)</f>
        <v/>
      </c>
      <c r="F44" s="11" t="str">
        <f aca="false">IF(OR(A44="",B44=0),"",E44/B44)</f>
        <v/>
      </c>
      <c r="G44" s="14" t="str">
        <f aca="false">IF(A44="","",Productos!D27)</f>
        <v/>
      </c>
    </row>
    <row r="45" customFormat="false" ht="15" hidden="false" customHeight="false" outlineLevel="0" collapsed="false">
      <c r="A45" s="14" t="str">
        <f aca="false">IF(Productos!B28="","",Productos!B28)</f>
        <v/>
      </c>
      <c r="B45" s="8" t="str">
        <f aca="false">IF(A45="","",SUMIFS(Movimientos!$E$5:$E$504,Movimientos!$C$5:$C$504,A45))</f>
        <v/>
      </c>
      <c r="C45" s="8" t="str">
        <f aca="false">IF(A45="","",SUMIFS(Movimientos!$F$5:$F$504,Movimientos!$C$5:$C$504,A45))</f>
        <v/>
      </c>
      <c r="D45" s="8" t="str">
        <f aca="false">IF(A45="","",SUMIFS(Movimientos!$F$5:$F$504,Movimientos!$C$5:$C$504,A45,Movimientos!$B$5:$B$504,"Publicidad"))</f>
        <v/>
      </c>
      <c r="E45" s="8" t="str">
        <f aca="false">IF(A45="","",B45-C45)</f>
        <v/>
      </c>
      <c r="F45" s="11" t="str">
        <f aca="false">IF(OR(A45="",B45=0),"",E45/B45)</f>
        <v/>
      </c>
      <c r="G45" s="14" t="str">
        <f aca="false">IF(A45="","",Productos!D28)</f>
        <v/>
      </c>
    </row>
    <row r="46" customFormat="false" ht="15" hidden="false" customHeight="false" outlineLevel="0" collapsed="false">
      <c r="A46" s="14" t="str">
        <f aca="false">IF(Productos!B29="","",Productos!B29)</f>
        <v/>
      </c>
      <c r="B46" s="8" t="str">
        <f aca="false">IF(A46="","",SUMIFS(Movimientos!$E$5:$E$504,Movimientos!$C$5:$C$504,A46))</f>
        <v/>
      </c>
      <c r="C46" s="8" t="str">
        <f aca="false">IF(A46="","",SUMIFS(Movimientos!$F$5:$F$504,Movimientos!$C$5:$C$504,A46))</f>
        <v/>
      </c>
      <c r="D46" s="8" t="str">
        <f aca="false">IF(A46="","",SUMIFS(Movimientos!$F$5:$F$504,Movimientos!$C$5:$C$504,A46,Movimientos!$B$5:$B$504,"Publicidad"))</f>
        <v/>
      </c>
      <c r="E46" s="8" t="str">
        <f aca="false">IF(A46="","",B46-C46)</f>
        <v/>
      </c>
      <c r="F46" s="11" t="str">
        <f aca="false">IF(OR(A46="",B46=0),"",E46/B46)</f>
        <v/>
      </c>
      <c r="G46" s="14" t="str">
        <f aca="false">IF(A46="","",Productos!D29)</f>
        <v/>
      </c>
    </row>
    <row r="47" customFormat="false" ht="15" hidden="false" customHeight="false" outlineLevel="0" collapsed="false">
      <c r="A47" s="14" t="str">
        <f aca="false">IF(Productos!B30="","",Productos!B30)</f>
        <v/>
      </c>
      <c r="B47" s="8" t="str">
        <f aca="false">IF(A47="","",SUMIFS(Movimientos!$E$5:$E$504,Movimientos!$C$5:$C$504,A47))</f>
        <v/>
      </c>
      <c r="C47" s="8" t="str">
        <f aca="false">IF(A47="","",SUMIFS(Movimientos!$F$5:$F$504,Movimientos!$C$5:$C$504,A47))</f>
        <v/>
      </c>
      <c r="D47" s="8" t="str">
        <f aca="false">IF(A47="","",SUMIFS(Movimientos!$F$5:$F$504,Movimientos!$C$5:$C$504,A47,Movimientos!$B$5:$B$504,"Publicidad"))</f>
        <v/>
      </c>
      <c r="E47" s="8" t="str">
        <f aca="false">IF(A47="","",B47-C47)</f>
        <v/>
      </c>
      <c r="F47" s="11" t="str">
        <f aca="false">IF(OR(A47="",B47=0),"",E47/B47)</f>
        <v/>
      </c>
      <c r="G47" s="14" t="str">
        <f aca="false">IF(A47="","",Productos!D30)</f>
        <v/>
      </c>
    </row>
    <row r="48" customFormat="false" ht="15" hidden="false" customHeight="false" outlineLevel="0" collapsed="false">
      <c r="A48" s="14" t="str">
        <f aca="false">IF(Productos!B31="","",Productos!B31)</f>
        <v/>
      </c>
      <c r="B48" s="8" t="str">
        <f aca="false">IF(A48="","",SUMIFS(Movimientos!$E$5:$E$504,Movimientos!$C$5:$C$504,A48))</f>
        <v/>
      </c>
      <c r="C48" s="8" t="str">
        <f aca="false">IF(A48="","",SUMIFS(Movimientos!$F$5:$F$504,Movimientos!$C$5:$C$504,A48))</f>
        <v/>
      </c>
      <c r="D48" s="8" t="str">
        <f aca="false">IF(A48="","",SUMIFS(Movimientos!$F$5:$F$504,Movimientos!$C$5:$C$504,A48,Movimientos!$B$5:$B$504,"Publicidad"))</f>
        <v/>
      </c>
      <c r="E48" s="8" t="str">
        <f aca="false">IF(A48="","",B48-C48)</f>
        <v/>
      </c>
      <c r="F48" s="11" t="str">
        <f aca="false">IF(OR(A48="",B48=0),"",E48/B48)</f>
        <v/>
      </c>
      <c r="G48" s="14" t="str">
        <f aca="false">IF(A48="","",Productos!D31)</f>
        <v/>
      </c>
    </row>
    <row r="49" customFormat="false" ht="15" hidden="false" customHeight="false" outlineLevel="0" collapsed="false">
      <c r="A49" s="14" t="str">
        <f aca="false">IF(Productos!B32="","",Productos!B32)</f>
        <v/>
      </c>
      <c r="B49" s="8" t="str">
        <f aca="false">IF(A49="","",SUMIFS(Movimientos!$E$5:$E$504,Movimientos!$C$5:$C$504,A49))</f>
        <v/>
      </c>
      <c r="C49" s="8" t="str">
        <f aca="false">IF(A49="","",SUMIFS(Movimientos!$F$5:$F$504,Movimientos!$C$5:$C$504,A49))</f>
        <v/>
      </c>
      <c r="D49" s="8" t="str">
        <f aca="false">IF(A49="","",SUMIFS(Movimientos!$F$5:$F$504,Movimientos!$C$5:$C$504,A49,Movimientos!$B$5:$B$504,"Publicidad"))</f>
        <v/>
      </c>
      <c r="E49" s="8" t="str">
        <f aca="false">IF(A49="","",B49-C49)</f>
        <v/>
      </c>
      <c r="F49" s="11" t="str">
        <f aca="false">IF(OR(A49="",B49=0),"",E49/B49)</f>
        <v/>
      </c>
      <c r="G49" s="14" t="str">
        <f aca="false">IF(A49="","",Productos!D32)</f>
        <v/>
      </c>
    </row>
    <row r="50" customFormat="false" ht="15" hidden="false" customHeight="false" outlineLevel="0" collapsed="false">
      <c r="A50" s="14" t="str">
        <f aca="false">IF(Productos!B33="","",Productos!B33)</f>
        <v/>
      </c>
      <c r="B50" s="8" t="str">
        <f aca="false">IF(A50="","",SUMIFS(Movimientos!$E$5:$E$504,Movimientos!$C$5:$C$504,A50))</f>
        <v/>
      </c>
      <c r="C50" s="8" t="str">
        <f aca="false">IF(A50="","",SUMIFS(Movimientos!$F$5:$F$504,Movimientos!$C$5:$C$504,A50))</f>
        <v/>
      </c>
      <c r="D50" s="8" t="str">
        <f aca="false">IF(A50="","",SUMIFS(Movimientos!$F$5:$F$504,Movimientos!$C$5:$C$504,A50,Movimientos!$B$5:$B$504,"Publicidad"))</f>
        <v/>
      </c>
      <c r="E50" s="8" t="str">
        <f aca="false">IF(A50="","",B50-C50)</f>
        <v/>
      </c>
      <c r="F50" s="11" t="str">
        <f aca="false">IF(OR(A50="",B50=0),"",E50/B50)</f>
        <v/>
      </c>
      <c r="G50" s="14" t="str">
        <f aca="false">IF(A50="","",Productos!D33)</f>
        <v/>
      </c>
    </row>
    <row r="51" customFormat="false" ht="15" hidden="false" customHeight="false" outlineLevel="0" collapsed="false">
      <c r="A51" s="14" t="str">
        <f aca="false">IF(Productos!B34="","",Productos!B34)</f>
        <v/>
      </c>
      <c r="B51" s="8" t="str">
        <f aca="false">IF(A51="","",SUMIFS(Movimientos!$E$5:$E$504,Movimientos!$C$5:$C$504,A51))</f>
        <v/>
      </c>
      <c r="C51" s="8" t="str">
        <f aca="false">IF(A51="","",SUMIFS(Movimientos!$F$5:$F$504,Movimientos!$C$5:$C$504,A51))</f>
        <v/>
      </c>
      <c r="D51" s="8" t="str">
        <f aca="false">IF(A51="","",SUMIFS(Movimientos!$F$5:$F$504,Movimientos!$C$5:$C$504,A51,Movimientos!$B$5:$B$504,"Publicidad"))</f>
        <v/>
      </c>
      <c r="E51" s="8" t="str">
        <f aca="false">IF(A51="","",B51-C51)</f>
        <v/>
      </c>
      <c r="F51" s="11" t="str">
        <f aca="false">IF(OR(A51="",B51=0),"",E51/B51)</f>
        <v/>
      </c>
      <c r="G51" s="14" t="str">
        <f aca="false">IF(A51="","",Productos!D34)</f>
        <v/>
      </c>
    </row>
  </sheetData>
  <conditionalFormatting sqref="B1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E22:E51"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9.7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4"/>
      <c r="C4" s="4"/>
    </row>
    <row r="5" customFormat="false" ht="15" hidden="false" customHeight="false" outlineLevel="0" collapsed="false">
      <c r="A5" s="7" t="s">
        <v>46</v>
      </c>
      <c r="B5" s="15" t="n">
        <v>39.99</v>
      </c>
      <c r="C5" s="2" t="s">
        <v>47</v>
      </c>
    </row>
    <row r="6" customFormat="false" ht="15" hidden="false" customHeight="false" outlineLevel="0" collapsed="false">
      <c r="A6" s="7" t="s">
        <v>48</v>
      </c>
      <c r="B6" s="15" t="n">
        <v>12</v>
      </c>
      <c r="C6" s="2" t="s">
        <v>49</v>
      </c>
    </row>
    <row r="7" customFormat="false" ht="15" hidden="false" customHeight="false" outlineLevel="0" collapsed="false">
      <c r="A7" s="7" t="s">
        <v>50</v>
      </c>
      <c r="B7" s="15" t="n">
        <v>5</v>
      </c>
      <c r="C7" s="2" t="s">
        <v>51</v>
      </c>
    </row>
    <row r="8" customFormat="false" ht="15" hidden="false" customHeight="false" outlineLevel="0" collapsed="false">
      <c r="A8" s="7" t="s">
        <v>52</v>
      </c>
      <c r="B8" s="15" t="n">
        <v>0.5</v>
      </c>
      <c r="C8" s="2" t="s">
        <v>53</v>
      </c>
    </row>
    <row r="9" customFormat="false" ht="15" hidden="false" customHeight="false" outlineLevel="0" collapsed="false">
      <c r="A9" s="7" t="s">
        <v>54</v>
      </c>
      <c r="B9" s="16" t="n">
        <v>0.04</v>
      </c>
      <c r="C9" s="2" t="s">
        <v>55</v>
      </c>
    </row>
    <row r="10" customFormat="false" ht="15" hidden="false" customHeight="false" outlineLevel="0" collapsed="false">
      <c r="A10" s="7" t="s">
        <v>56</v>
      </c>
      <c r="B10" s="15" t="n">
        <v>0.3</v>
      </c>
      <c r="C10" s="2" t="s">
        <v>57</v>
      </c>
    </row>
    <row r="11" customFormat="false" ht="15" hidden="false" customHeight="false" outlineLevel="0" collapsed="false">
      <c r="A11" s="7" t="s">
        <v>58</v>
      </c>
      <c r="B11" s="16" t="n">
        <v>0.05</v>
      </c>
      <c r="C11" s="2" t="s">
        <v>59</v>
      </c>
    </row>
    <row r="12" customFormat="false" ht="15" hidden="false" customHeight="false" outlineLevel="0" collapsed="false">
      <c r="A12" s="7" t="s">
        <v>60</v>
      </c>
      <c r="B12" s="15" t="n">
        <v>5</v>
      </c>
      <c r="C12" s="2" t="s">
        <v>61</v>
      </c>
    </row>
    <row r="14" customFormat="false" ht="15" hidden="false" customHeight="false" outlineLevel="0" collapsed="false">
      <c r="A14" s="3" t="s">
        <v>62</v>
      </c>
      <c r="B14" s="4"/>
      <c r="C14" s="4"/>
    </row>
    <row r="15" customFormat="false" ht="15" hidden="false" customHeight="false" outlineLevel="0" collapsed="false">
      <c r="A15" s="7" t="s">
        <v>63</v>
      </c>
      <c r="B15" s="8" t="n">
        <f aca="false">B5*B9+B10</f>
        <v>1.8996</v>
      </c>
    </row>
    <row r="16" customFormat="false" ht="15" hidden="false" customHeight="false" outlineLevel="0" collapsed="false">
      <c r="A16" s="7" t="s">
        <v>64</v>
      </c>
      <c r="B16" s="8" t="n">
        <f aca="false">B11*B12</f>
        <v>0.25</v>
      </c>
    </row>
    <row r="17" customFormat="false" ht="15" hidden="false" customHeight="false" outlineLevel="0" collapsed="false">
      <c r="A17" s="7" t="s">
        <v>65</v>
      </c>
      <c r="B17" s="8" t="n">
        <f aca="false">B6+B7+B8+B15+B16</f>
        <v>19.6496</v>
      </c>
    </row>
    <row r="18" customFormat="false" ht="15" hidden="false" customHeight="false" outlineLevel="0" collapsed="false">
      <c r="A18" s="9" t="s">
        <v>66</v>
      </c>
      <c r="B18" s="10" t="n">
        <f aca="false">B5-B17</f>
        <v>20.3404</v>
      </c>
    </row>
    <row r="19" customFormat="false" ht="15" hidden="false" customHeight="false" outlineLevel="0" collapsed="false">
      <c r="A19" s="7" t="s">
        <v>67</v>
      </c>
      <c r="B19" s="11" t="n">
        <f aca="false">IF(B5=0,0,B18/B5)</f>
        <v>0.508637159289822</v>
      </c>
    </row>
    <row r="20" customFormat="false" ht="15" hidden="false" customHeight="false" outlineLevel="0" collapsed="false">
      <c r="A20" s="7" t="s">
        <v>68</v>
      </c>
      <c r="B20" s="11" t="n">
        <f aca="false">IF(B6=0,0,B18/B6)</f>
        <v>1.69503333333333</v>
      </c>
    </row>
    <row r="22" customFormat="false" ht="15" hidden="false" customHeight="false" outlineLevel="0" collapsed="false">
      <c r="A22" s="3" t="s">
        <v>69</v>
      </c>
      <c r="B22" s="4"/>
      <c r="C22" s="4"/>
    </row>
    <row r="23" customFormat="false" ht="15" hidden="false" customHeight="false" outlineLevel="0" collapsed="false">
      <c r="A23" s="7" t="s">
        <v>70</v>
      </c>
      <c r="B23" s="16" t="n">
        <v>0.2</v>
      </c>
      <c r="C23" s="2" t="s">
        <v>71</v>
      </c>
    </row>
    <row r="24" customFormat="false" ht="15" hidden="false" customHeight="false" outlineLevel="0" collapsed="false">
      <c r="A24" s="7" t="s">
        <v>72</v>
      </c>
      <c r="B24" s="8" t="n">
        <f aca="false">MAX(B18,0)</f>
        <v>20.3404</v>
      </c>
      <c r="C24" s="2" t="s">
        <v>73</v>
      </c>
    </row>
    <row r="25" customFormat="false" ht="15" hidden="false" customHeight="false" outlineLevel="0" collapsed="false">
      <c r="A25" s="7" t="s">
        <v>74</v>
      </c>
      <c r="B25" s="12" t="n">
        <f aca="false">IF(B18&lt;=0,"No hay margen",B5/B18)</f>
        <v>1.96603803268372</v>
      </c>
      <c r="C25" s="2" t="s">
        <v>75</v>
      </c>
    </row>
    <row r="26" customFormat="false" ht="15" hidden="false" customHeight="false" outlineLevel="0" collapsed="false">
      <c r="A26" s="7" t="s">
        <v>76</v>
      </c>
      <c r="B26" s="8" t="n">
        <f aca="false">MAX(B18-B5*B23,0)</f>
        <v>12.3424</v>
      </c>
      <c r="C26" s="2" t="s">
        <v>77</v>
      </c>
    </row>
    <row r="27" customFormat="false" ht="15" hidden="false" customHeight="false" outlineLevel="0" collapsed="false">
      <c r="A27" s="7" t="s">
        <v>78</v>
      </c>
      <c r="B27" s="12" t="n">
        <f aca="false">IF(B26&lt;=0,"No hay margen",B5/B26)</f>
        <v>3.24005055742805</v>
      </c>
      <c r="C27" s="2" t="s">
        <v>79</v>
      </c>
    </row>
    <row r="28" customFormat="false" ht="15" hidden="false" customHeight="false" outlineLevel="0" collapsed="false">
      <c r="A28" s="7" t="s">
        <v>80</v>
      </c>
      <c r="B28" s="8" t="n">
        <f aca="false">B18-B26</f>
        <v>7.998</v>
      </c>
      <c r="C28" s="2"/>
    </row>
    <row r="30" customFormat="false" ht="15" hidden="false" customHeight="false" outlineLevel="0" collapsed="false">
      <c r="A30" s="3" t="s">
        <v>81</v>
      </c>
      <c r="B30" s="4"/>
      <c r="C30" s="4"/>
    </row>
    <row r="31" customFormat="false" ht="15" hidden="false" customHeight="false" outlineLevel="0" collapsed="false">
      <c r="A31" s="7" t="s">
        <v>82</v>
      </c>
      <c r="B31" s="15" t="n">
        <v>300</v>
      </c>
    </row>
    <row r="32" customFormat="false" ht="15" hidden="false" customHeight="false" outlineLevel="0" collapsed="false">
      <c r="A32" s="7" t="s">
        <v>83</v>
      </c>
      <c r="B32" s="15" t="n">
        <v>12</v>
      </c>
    </row>
    <row r="33" customFormat="false" ht="15" hidden="false" customHeight="false" outlineLevel="0" collapsed="false">
      <c r="A33" s="7" t="s">
        <v>84</v>
      </c>
      <c r="B33" s="17" t="n">
        <f aca="false">IF(B32&lt;=0,0,B31/B32)</f>
        <v>25</v>
      </c>
    </row>
    <row r="34" customFormat="false" ht="15" hidden="false" customHeight="false" outlineLevel="0" collapsed="false">
      <c r="A34" s="7" t="s">
        <v>85</v>
      </c>
      <c r="B34" s="8" t="n">
        <f aca="false">B33*B5</f>
        <v>999.75</v>
      </c>
    </row>
    <row r="35" customFormat="false" ht="15" hidden="false" customHeight="false" outlineLevel="0" collapsed="false">
      <c r="A35" s="7" t="s">
        <v>86</v>
      </c>
      <c r="B35" s="8" t="n">
        <f aca="false">B33*B18</f>
        <v>508.51</v>
      </c>
    </row>
    <row r="36" customFormat="false" ht="15" hidden="false" customHeight="false" outlineLevel="0" collapsed="false">
      <c r="A36" s="9" t="s">
        <v>87</v>
      </c>
      <c r="B36" s="10" t="n">
        <f aca="false">B35-B31</f>
        <v>208.51</v>
      </c>
    </row>
    <row r="37" customFormat="false" ht="15" hidden="false" customHeight="false" outlineLevel="0" collapsed="false">
      <c r="A37" s="7" t="s">
        <v>88</v>
      </c>
      <c r="B37" s="12" t="n">
        <f aca="false">IF(B31=0,0,B34/B31)</f>
        <v>3.3325</v>
      </c>
    </row>
    <row r="38" customFormat="false" ht="15" hidden="false" customHeight="false" outlineLevel="0" collapsed="false">
      <c r="A38" s="7" t="s">
        <v>89</v>
      </c>
      <c r="B38" s="11" t="n">
        <f aca="false">IF(B31=0,0,B36/B31)</f>
        <v>0.695033333333334</v>
      </c>
    </row>
    <row r="39" customFormat="false" ht="15" hidden="false" customHeight="false" outlineLevel="0" collapsed="false">
      <c r="A39" s="7" t="s">
        <v>90</v>
      </c>
      <c r="B39" s="8" t="n">
        <f aca="false">B31/30</f>
        <v>10</v>
      </c>
    </row>
    <row r="41" customFormat="false" ht="15" hidden="false" customHeight="false" outlineLevel="0" collapsed="false">
      <c r="A41" s="2" t="s">
        <v>91</v>
      </c>
    </row>
  </sheetData>
  <conditionalFormatting sqref="B3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9" min="6" style="0" width="12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7"/>
    <col collapsed="false" customWidth="true" hidden="false" outlineLevel="0" max="13" min="13" style="0" width="11"/>
    <col collapsed="false" customWidth="true" hidden="false" outlineLevel="0" max="14" min="14" style="0" width="22"/>
    <col collapsed="false" customWidth="true" hidden="false" outlineLevel="0" max="15" min="15" style="0" width="14"/>
    <col collapsed="false" customWidth="true" hidden="false" outlineLevel="0" max="16" min="16" style="0" width="32"/>
  </cols>
  <sheetData>
    <row r="1" customFormat="false" ht="19.7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31.5" hidden="false" customHeight="true" outlineLevel="0" collapsed="false">
      <c r="A4" s="13" t="s">
        <v>94</v>
      </c>
      <c r="B4" s="13" t="s">
        <v>37</v>
      </c>
      <c r="C4" s="13" t="s">
        <v>95</v>
      </c>
      <c r="D4" s="13" t="s">
        <v>96</v>
      </c>
      <c r="E4" s="13" t="s">
        <v>97</v>
      </c>
      <c r="F4" s="13" t="s">
        <v>98</v>
      </c>
      <c r="G4" s="13" t="s">
        <v>99</v>
      </c>
      <c r="H4" s="13" t="s">
        <v>100</v>
      </c>
      <c r="I4" s="13" t="s">
        <v>101</v>
      </c>
      <c r="J4" s="13" t="s">
        <v>86</v>
      </c>
      <c r="K4" s="13" t="s">
        <v>41</v>
      </c>
      <c r="L4" s="13" t="s">
        <v>72</v>
      </c>
      <c r="M4" s="13" t="s">
        <v>102</v>
      </c>
      <c r="N4" s="13" t="s">
        <v>103</v>
      </c>
      <c r="O4" s="13" t="s">
        <v>104</v>
      </c>
      <c r="P4" s="13" t="s">
        <v>105</v>
      </c>
    </row>
    <row r="5" customFormat="false" ht="15" hidden="false" customHeight="false" outlineLevel="0" collapsed="false">
      <c r="A5" s="14" t="n">
        <v>1</v>
      </c>
      <c r="B5" s="18" t="s">
        <v>106</v>
      </c>
      <c r="C5" s="18" t="s">
        <v>107</v>
      </c>
      <c r="D5" s="18" t="s">
        <v>108</v>
      </c>
      <c r="E5" s="19" t="n">
        <v>46285</v>
      </c>
      <c r="F5" s="15" t="n">
        <v>39.99</v>
      </c>
      <c r="G5" s="15" t="n">
        <v>12</v>
      </c>
      <c r="H5" s="15" t="n">
        <v>5</v>
      </c>
      <c r="I5" s="16" t="n">
        <v>0.04</v>
      </c>
      <c r="J5" s="8" t="n">
        <f aca="false">IF(F5="","",F5-G5-H5-F5*I5)</f>
        <v>21.3904</v>
      </c>
      <c r="K5" s="11" t="n">
        <f aca="false">IF(OR(F5="",F5=0),"",J5/F5)</f>
        <v>0.534893723430858</v>
      </c>
      <c r="L5" s="8" t="n">
        <f aca="false">IF(J5="","",MAX(J5,0))</f>
        <v>21.3904</v>
      </c>
      <c r="M5" s="12" t="n">
        <f aca="false">IF(OR(J5="",J5&lt;=0),"",F5/J5)</f>
        <v>1.86953025656369</v>
      </c>
      <c r="N5" s="18" t="s">
        <v>109</v>
      </c>
      <c r="O5" s="15" t="n">
        <v>15</v>
      </c>
      <c r="P5" s="18" t="s">
        <v>110</v>
      </c>
    </row>
    <row r="6" customFormat="false" ht="15" hidden="false" customHeight="false" outlineLevel="0" collapsed="false">
      <c r="A6" s="14" t="n">
        <v>2</v>
      </c>
      <c r="B6" s="18" t="s">
        <v>111</v>
      </c>
      <c r="C6" s="18" t="s">
        <v>112</v>
      </c>
      <c r="D6" s="18" t="s">
        <v>113</v>
      </c>
      <c r="E6" s="19"/>
      <c r="F6" s="15" t="n">
        <v>29.99</v>
      </c>
      <c r="G6" s="15" t="n">
        <v>8</v>
      </c>
      <c r="H6" s="15" t="n">
        <v>4</v>
      </c>
      <c r="I6" s="16" t="n">
        <v>0.04</v>
      </c>
      <c r="J6" s="8" t="n">
        <f aca="false">IF(F6="","",F6-G6-H6-F6*I6)</f>
        <v>16.7904</v>
      </c>
      <c r="K6" s="11" t="n">
        <f aca="false">IF(OR(F6="",F6=0),"",J6/F6)</f>
        <v>0.559866622207403</v>
      </c>
      <c r="L6" s="8" t="n">
        <f aca="false">IF(J6="","",MAX(J6,0))</f>
        <v>16.7904</v>
      </c>
      <c r="M6" s="12" t="n">
        <f aca="false">IF(OR(J6="",J6&lt;=0),"",F6/J6)</f>
        <v>1.78613969887555</v>
      </c>
      <c r="N6" s="18" t="s">
        <v>114</v>
      </c>
      <c r="O6" s="15" t="n">
        <v>10</v>
      </c>
      <c r="P6" s="18" t="s">
        <v>115</v>
      </c>
    </row>
    <row r="7" customFormat="false" ht="15" hidden="false" customHeight="false" outlineLevel="0" collapsed="false">
      <c r="A7" s="14" t="n">
        <v>3</v>
      </c>
      <c r="B7" s="18" t="s">
        <v>116</v>
      </c>
      <c r="C7" s="18"/>
      <c r="D7" s="18" t="s">
        <v>117</v>
      </c>
      <c r="E7" s="19"/>
      <c r="F7" s="15" t="n">
        <v>24.99</v>
      </c>
      <c r="G7" s="15" t="n">
        <v>6</v>
      </c>
      <c r="H7" s="15" t="n">
        <v>4.5</v>
      </c>
      <c r="I7" s="16" t="n">
        <v>0.04</v>
      </c>
      <c r="J7" s="8" t="n">
        <f aca="false">IF(F7="","",F7-G7-H7-F7*I7)</f>
        <v>13.4904</v>
      </c>
      <c r="K7" s="11" t="n">
        <f aca="false">IF(OR(F7="",F7=0),"",J7/F7)</f>
        <v>0.539831932773109</v>
      </c>
      <c r="L7" s="8" t="n">
        <f aca="false">IF(J7="","",MAX(J7,0))</f>
        <v>13.4904</v>
      </c>
      <c r="M7" s="12" t="n">
        <f aca="false">IF(OR(J7="",J7&lt;=0),"",F7/J7)</f>
        <v>1.85242839352428</v>
      </c>
      <c r="N7" s="18"/>
      <c r="O7" s="15" t="n">
        <v>0</v>
      </c>
      <c r="P7" s="18" t="s">
        <v>118</v>
      </c>
    </row>
    <row r="8" customFormat="false" ht="15" hidden="false" customHeight="false" outlineLevel="0" collapsed="false">
      <c r="A8" s="14" t="n">
        <v>4</v>
      </c>
      <c r="B8" s="18"/>
      <c r="C8" s="18"/>
      <c r="D8" s="18"/>
      <c r="E8" s="19"/>
      <c r="F8" s="15"/>
      <c r="G8" s="15"/>
      <c r="H8" s="15"/>
      <c r="I8" s="16"/>
      <c r="J8" s="8" t="str">
        <f aca="false">IF(F8="","",F8-G8-H8-F8*I8)</f>
        <v/>
      </c>
      <c r="K8" s="11" t="str">
        <f aca="false">IF(OR(F8="",F8=0),"",J8/F8)</f>
        <v/>
      </c>
      <c r="L8" s="8" t="str">
        <f aca="false">IF(J8="","",MAX(J8,0))</f>
        <v/>
      </c>
      <c r="M8" s="12" t="str">
        <f aca="false">IF(OR(J8="",J8&lt;=0),"",F8/J8)</f>
        <v/>
      </c>
      <c r="N8" s="18"/>
      <c r="O8" s="15"/>
      <c r="P8" s="18"/>
    </row>
    <row r="9" customFormat="false" ht="15" hidden="false" customHeight="false" outlineLevel="0" collapsed="false">
      <c r="A9" s="14" t="n">
        <v>5</v>
      </c>
      <c r="B9" s="18"/>
      <c r="C9" s="18"/>
      <c r="D9" s="18"/>
      <c r="E9" s="19"/>
      <c r="F9" s="15"/>
      <c r="G9" s="15"/>
      <c r="H9" s="15"/>
      <c r="I9" s="16"/>
      <c r="J9" s="8" t="str">
        <f aca="false">IF(F9="","",F9-G9-H9-F9*I9)</f>
        <v/>
      </c>
      <c r="K9" s="11" t="str">
        <f aca="false">IF(OR(F9="",F9=0),"",J9/F9)</f>
        <v/>
      </c>
      <c r="L9" s="8" t="str">
        <f aca="false">IF(J9="","",MAX(J9,0))</f>
        <v/>
      </c>
      <c r="M9" s="12" t="str">
        <f aca="false">IF(OR(J9="",J9&lt;=0),"",F9/J9)</f>
        <v/>
      </c>
      <c r="N9" s="18"/>
      <c r="O9" s="15"/>
      <c r="P9" s="18"/>
    </row>
    <row r="10" customFormat="false" ht="15" hidden="false" customHeight="false" outlineLevel="0" collapsed="false">
      <c r="A10" s="14" t="n">
        <v>6</v>
      </c>
      <c r="B10" s="18"/>
      <c r="C10" s="18"/>
      <c r="D10" s="18"/>
      <c r="E10" s="19"/>
      <c r="F10" s="15"/>
      <c r="G10" s="15"/>
      <c r="H10" s="15"/>
      <c r="I10" s="16"/>
      <c r="J10" s="8" t="str">
        <f aca="false">IF(F10="","",F10-G10-H10-F10*I10)</f>
        <v/>
      </c>
      <c r="K10" s="11" t="str">
        <f aca="false">IF(OR(F10="",F10=0),"",J10/F10)</f>
        <v/>
      </c>
      <c r="L10" s="8" t="str">
        <f aca="false">IF(J10="","",MAX(J10,0))</f>
        <v/>
      </c>
      <c r="M10" s="12" t="str">
        <f aca="false">IF(OR(J10="",J10&lt;=0),"",F10/J10)</f>
        <v/>
      </c>
      <c r="N10" s="18"/>
      <c r="O10" s="15"/>
      <c r="P10" s="18"/>
    </row>
    <row r="11" customFormat="false" ht="15" hidden="false" customHeight="false" outlineLevel="0" collapsed="false">
      <c r="A11" s="14" t="n">
        <v>7</v>
      </c>
      <c r="B11" s="18"/>
      <c r="C11" s="18"/>
      <c r="D11" s="18"/>
      <c r="E11" s="19"/>
      <c r="F11" s="15"/>
      <c r="G11" s="15"/>
      <c r="H11" s="15"/>
      <c r="I11" s="16"/>
      <c r="J11" s="8" t="str">
        <f aca="false">IF(F11="","",F11-G11-H11-F11*I11)</f>
        <v/>
      </c>
      <c r="K11" s="11" t="str">
        <f aca="false">IF(OR(F11="",F11=0),"",J11/F11)</f>
        <v/>
      </c>
      <c r="L11" s="8" t="str">
        <f aca="false">IF(J11="","",MAX(J11,0))</f>
        <v/>
      </c>
      <c r="M11" s="12" t="str">
        <f aca="false">IF(OR(J11="",J11&lt;=0),"",F11/J11)</f>
        <v/>
      </c>
      <c r="N11" s="18"/>
      <c r="O11" s="15"/>
      <c r="P11" s="18"/>
    </row>
    <row r="12" customFormat="false" ht="15" hidden="false" customHeight="false" outlineLevel="0" collapsed="false">
      <c r="A12" s="14" t="n">
        <v>8</v>
      </c>
      <c r="B12" s="18"/>
      <c r="C12" s="18"/>
      <c r="D12" s="18"/>
      <c r="E12" s="19"/>
      <c r="F12" s="15"/>
      <c r="G12" s="15"/>
      <c r="H12" s="15"/>
      <c r="I12" s="16"/>
      <c r="J12" s="8" t="str">
        <f aca="false">IF(F12="","",F12-G12-H12-F12*I12)</f>
        <v/>
      </c>
      <c r="K12" s="11" t="str">
        <f aca="false">IF(OR(F12="",F12=0),"",J12/F12)</f>
        <v/>
      </c>
      <c r="L12" s="8" t="str">
        <f aca="false">IF(J12="","",MAX(J12,0))</f>
        <v/>
      </c>
      <c r="M12" s="12" t="str">
        <f aca="false">IF(OR(J12="",J12&lt;=0),"",F12/J12)</f>
        <v/>
      </c>
      <c r="N12" s="18"/>
      <c r="O12" s="15"/>
      <c r="P12" s="18"/>
    </row>
    <row r="13" customFormat="false" ht="15" hidden="false" customHeight="false" outlineLevel="0" collapsed="false">
      <c r="A13" s="14" t="n">
        <v>9</v>
      </c>
      <c r="B13" s="18"/>
      <c r="C13" s="18"/>
      <c r="D13" s="18"/>
      <c r="E13" s="19"/>
      <c r="F13" s="15"/>
      <c r="G13" s="15"/>
      <c r="H13" s="15"/>
      <c r="I13" s="16"/>
      <c r="J13" s="8" t="str">
        <f aca="false">IF(F13="","",F13-G13-H13-F13*I13)</f>
        <v/>
      </c>
      <c r="K13" s="11" t="str">
        <f aca="false">IF(OR(F13="",F13=0),"",J13/F13)</f>
        <v/>
      </c>
      <c r="L13" s="8" t="str">
        <f aca="false">IF(J13="","",MAX(J13,0))</f>
        <v/>
      </c>
      <c r="M13" s="12" t="str">
        <f aca="false">IF(OR(J13="",J13&lt;=0),"",F13/J13)</f>
        <v/>
      </c>
      <c r="N13" s="18"/>
      <c r="O13" s="15"/>
      <c r="P13" s="18"/>
    </row>
    <row r="14" customFormat="false" ht="15" hidden="false" customHeight="false" outlineLevel="0" collapsed="false">
      <c r="A14" s="14" t="n">
        <v>10</v>
      </c>
      <c r="B14" s="18"/>
      <c r="C14" s="18"/>
      <c r="D14" s="18"/>
      <c r="E14" s="19"/>
      <c r="F14" s="15"/>
      <c r="G14" s="15"/>
      <c r="H14" s="15"/>
      <c r="I14" s="16"/>
      <c r="J14" s="8" t="str">
        <f aca="false">IF(F14="","",F14-G14-H14-F14*I14)</f>
        <v/>
      </c>
      <c r="K14" s="11" t="str">
        <f aca="false">IF(OR(F14="",F14=0),"",J14/F14)</f>
        <v/>
      </c>
      <c r="L14" s="8" t="str">
        <f aca="false">IF(J14="","",MAX(J14,0))</f>
        <v/>
      </c>
      <c r="M14" s="12" t="str">
        <f aca="false">IF(OR(J14="",J14&lt;=0),"",F14/J14)</f>
        <v/>
      </c>
      <c r="N14" s="18"/>
      <c r="O14" s="15"/>
      <c r="P14" s="18"/>
    </row>
    <row r="15" customFormat="false" ht="15" hidden="false" customHeight="false" outlineLevel="0" collapsed="false">
      <c r="A15" s="14" t="n">
        <v>11</v>
      </c>
      <c r="B15" s="18"/>
      <c r="C15" s="18"/>
      <c r="D15" s="18"/>
      <c r="E15" s="19"/>
      <c r="F15" s="15"/>
      <c r="G15" s="15"/>
      <c r="H15" s="15"/>
      <c r="I15" s="16"/>
      <c r="J15" s="8" t="str">
        <f aca="false">IF(F15="","",F15-G15-H15-F15*I15)</f>
        <v/>
      </c>
      <c r="K15" s="11" t="str">
        <f aca="false">IF(OR(F15="",F15=0),"",J15/F15)</f>
        <v/>
      </c>
      <c r="L15" s="8" t="str">
        <f aca="false">IF(J15="","",MAX(J15,0))</f>
        <v/>
      </c>
      <c r="M15" s="12" t="str">
        <f aca="false">IF(OR(J15="",J15&lt;=0),"",F15/J15)</f>
        <v/>
      </c>
      <c r="N15" s="18"/>
      <c r="O15" s="15"/>
      <c r="P15" s="18"/>
    </row>
    <row r="16" customFormat="false" ht="15" hidden="false" customHeight="false" outlineLevel="0" collapsed="false">
      <c r="A16" s="14" t="n">
        <v>12</v>
      </c>
      <c r="B16" s="18"/>
      <c r="C16" s="18"/>
      <c r="D16" s="18"/>
      <c r="E16" s="19"/>
      <c r="F16" s="15"/>
      <c r="G16" s="15"/>
      <c r="H16" s="15"/>
      <c r="I16" s="16"/>
      <c r="J16" s="8" t="str">
        <f aca="false">IF(F16="","",F16-G16-H16-F16*I16)</f>
        <v/>
      </c>
      <c r="K16" s="11" t="str">
        <f aca="false">IF(OR(F16="",F16=0),"",J16/F16)</f>
        <v/>
      </c>
      <c r="L16" s="8" t="str">
        <f aca="false">IF(J16="","",MAX(J16,0))</f>
        <v/>
      </c>
      <c r="M16" s="12" t="str">
        <f aca="false">IF(OR(J16="",J16&lt;=0),"",F16/J16)</f>
        <v/>
      </c>
      <c r="N16" s="18"/>
      <c r="O16" s="15"/>
      <c r="P16" s="18"/>
    </row>
    <row r="17" customFormat="false" ht="15" hidden="false" customHeight="false" outlineLevel="0" collapsed="false">
      <c r="A17" s="14" t="n">
        <v>13</v>
      </c>
      <c r="B17" s="18"/>
      <c r="C17" s="18"/>
      <c r="D17" s="18"/>
      <c r="E17" s="19"/>
      <c r="F17" s="15"/>
      <c r="G17" s="15"/>
      <c r="H17" s="15"/>
      <c r="I17" s="16"/>
      <c r="J17" s="8" t="str">
        <f aca="false">IF(F17="","",F17-G17-H17-F17*I17)</f>
        <v/>
      </c>
      <c r="K17" s="11" t="str">
        <f aca="false">IF(OR(F17="",F17=0),"",J17/F17)</f>
        <v/>
      </c>
      <c r="L17" s="8" t="str">
        <f aca="false">IF(J17="","",MAX(J17,0))</f>
        <v/>
      </c>
      <c r="M17" s="12" t="str">
        <f aca="false">IF(OR(J17="",J17&lt;=0),"",F17/J17)</f>
        <v/>
      </c>
      <c r="N17" s="18"/>
      <c r="O17" s="15"/>
      <c r="P17" s="18"/>
    </row>
    <row r="18" customFormat="false" ht="15" hidden="false" customHeight="false" outlineLevel="0" collapsed="false">
      <c r="A18" s="14" t="n">
        <v>14</v>
      </c>
      <c r="B18" s="18"/>
      <c r="C18" s="18"/>
      <c r="D18" s="18"/>
      <c r="E18" s="19"/>
      <c r="F18" s="15"/>
      <c r="G18" s="15"/>
      <c r="H18" s="15"/>
      <c r="I18" s="16"/>
      <c r="J18" s="8" t="str">
        <f aca="false">IF(F18="","",F18-G18-H18-F18*I18)</f>
        <v/>
      </c>
      <c r="K18" s="11" t="str">
        <f aca="false">IF(OR(F18="",F18=0),"",J18/F18)</f>
        <v/>
      </c>
      <c r="L18" s="8" t="str">
        <f aca="false">IF(J18="","",MAX(J18,0))</f>
        <v/>
      </c>
      <c r="M18" s="12" t="str">
        <f aca="false">IF(OR(J18="",J18&lt;=0),"",F18/J18)</f>
        <v/>
      </c>
      <c r="N18" s="18"/>
      <c r="O18" s="15"/>
      <c r="P18" s="18"/>
    </row>
    <row r="19" customFormat="false" ht="15" hidden="false" customHeight="false" outlineLevel="0" collapsed="false">
      <c r="A19" s="14" t="n">
        <v>15</v>
      </c>
      <c r="B19" s="18"/>
      <c r="C19" s="18"/>
      <c r="D19" s="18"/>
      <c r="E19" s="19"/>
      <c r="F19" s="15"/>
      <c r="G19" s="15"/>
      <c r="H19" s="15"/>
      <c r="I19" s="16"/>
      <c r="J19" s="8" t="str">
        <f aca="false">IF(F19="","",F19-G19-H19-F19*I19)</f>
        <v/>
      </c>
      <c r="K19" s="11" t="str">
        <f aca="false">IF(OR(F19="",F19=0),"",J19/F19)</f>
        <v/>
      </c>
      <c r="L19" s="8" t="str">
        <f aca="false">IF(J19="","",MAX(J19,0))</f>
        <v/>
      </c>
      <c r="M19" s="12" t="str">
        <f aca="false">IF(OR(J19="",J19&lt;=0),"",F19/J19)</f>
        <v/>
      </c>
      <c r="N19" s="18"/>
      <c r="O19" s="15"/>
      <c r="P19" s="18"/>
    </row>
    <row r="20" customFormat="false" ht="15" hidden="false" customHeight="false" outlineLevel="0" collapsed="false">
      <c r="A20" s="14" t="n">
        <v>16</v>
      </c>
      <c r="B20" s="18"/>
      <c r="C20" s="18"/>
      <c r="D20" s="18"/>
      <c r="E20" s="19"/>
      <c r="F20" s="15"/>
      <c r="G20" s="15"/>
      <c r="H20" s="15"/>
      <c r="I20" s="16"/>
      <c r="J20" s="8" t="str">
        <f aca="false">IF(F20="","",F20-G20-H20-F20*I20)</f>
        <v/>
      </c>
      <c r="K20" s="11" t="str">
        <f aca="false">IF(OR(F20="",F20=0),"",J20/F20)</f>
        <v/>
      </c>
      <c r="L20" s="8" t="str">
        <f aca="false">IF(J20="","",MAX(J20,0))</f>
        <v/>
      </c>
      <c r="M20" s="12" t="str">
        <f aca="false">IF(OR(J20="",J20&lt;=0),"",F20/J20)</f>
        <v/>
      </c>
      <c r="N20" s="18"/>
      <c r="O20" s="15"/>
      <c r="P20" s="18"/>
    </row>
    <row r="21" customFormat="false" ht="15" hidden="false" customHeight="false" outlineLevel="0" collapsed="false">
      <c r="A21" s="14" t="n">
        <v>17</v>
      </c>
      <c r="B21" s="18"/>
      <c r="C21" s="18"/>
      <c r="D21" s="18"/>
      <c r="E21" s="19"/>
      <c r="F21" s="15"/>
      <c r="G21" s="15"/>
      <c r="H21" s="15"/>
      <c r="I21" s="16"/>
      <c r="J21" s="8" t="str">
        <f aca="false">IF(F21="","",F21-G21-H21-F21*I21)</f>
        <v/>
      </c>
      <c r="K21" s="11" t="str">
        <f aca="false">IF(OR(F21="",F21=0),"",J21/F21)</f>
        <v/>
      </c>
      <c r="L21" s="8" t="str">
        <f aca="false">IF(J21="","",MAX(J21,0))</f>
        <v/>
      </c>
      <c r="M21" s="12" t="str">
        <f aca="false">IF(OR(J21="",J21&lt;=0),"",F21/J21)</f>
        <v/>
      </c>
      <c r="N21" s="18"/>
      <c r="O21" s="15"/>
      <c r="P21" s="18"/>
    </row>
    <row r="22" customFormat="false" ht="15" hidden="false" customHeight="false" outlineLevel="0" collapsed="false">
      <c r="A22" s="14" t="n">
        <v>18</v>
      </c>
      <c r="B22" s="18"/>
      <c r="C22" s="18"/>
      <c r="D22" s="18"/>
      <c r="E22" s="19"/>
      <c r="F22" s="15"/>
      <c r="G22" s="15"/>
      <c r="H22" s="15"/>
      <c r="I22" s="16"/>
      <c r="J22" s="8" t="str">
        <f aca="false">IF(F22="","",F22-G22-H22-F22*I22)</f>
        <v/>
      </c>
      <c r="K22" s="11" t="str">
        <f aca="false">IF(OR(F22="",F22=0),"",J22/F22)</f>
        <v/>
      </c>
      <c r="L22" s="8" t="str">
        <f aca="false">IF(J22="","",MAX(J22,0))</f>
        <v/>
      </c>
      <c r="M22" s="12" t="str">
        <f aca="false">IF(OR(J22="",J22&lt;=0),"",F22/J22)</f>
        <v/>
      </c>
      <c r="N22" s="18"/>
      <c r="O22" s="15"/>
      <c r="P22" s="18"/>
    </row>
    <row r="23" customFormat="false" ht="15" hidden="false" customHeight="false" outlineLevel="0" collapsed="false">
      <c r="A23" s="14" t="n">
        <v>19</v>
      </c>
      <c r="B23" s="18"/>
      <c r="C23" s="18"/>
      <c r="D23" s="18"/>
      <c r="E23" s="19"/>
      <c r="F23" s="15"/>
      <c r="G23" s="15"/>
      <c r="H23" s="15"/>
      <c r="I23" s="16"/>
      <c r="J23" s="8" t="str">
        <f aca="false">IF(F23="","",F23-G23-H23-F23*I23)</f>
        <v/>
      </c>
      <c r="K23" s="11" t="str">
        <f aca="false">IF(OR(F23="",F23=0),"",J23/F23)</f>
        <v/>
      </c>
      <c r="L23" s="8" t="str">
        <f aca="false">IF(J23="","",MAX(J23,0))</f>
        <v/>
      </c>
      <c r="M23" s="12" t="str">
        <f aca="false">IF(OR(J23="",J23&lt;=0),"",F23/J23)</f>
        <v/>
      </c>
      <c r="N23" s="18"/>
      <c r="O23" s="15"/>
      <c r="P23" s="18"/>
    </row>
    <row r="24" customFormat="false" ht="15" hidden="false" customHeight="false" outlineLevel="0" collapsed="false">
      <c r="A24" s="14" t="n">
        <v>20</v>
      </c>
      <c r="B24" s="18"/>
      <c r="C24" s="18"/>
      <c r="D24" s="18"/>
      <c r="E24" s="19"/>
      <c r="F24" s="15"/>
      <c r="G24" s="15"/>
      <c r="H24" s="15"/>
      <c r="I24" s="16"/>
      <c r="J24" s="8" t="str">
        <f aca="false">IF(F24="","",F24-G24-H24-F24*I24)</f>
        <v/>
      </c>
      <c r="K24" s="11" t="str">
        <f aca="false">IF(OR(F24="",F24=0),"",J24/F24)</f>
        <v/>
      </c>
      <c r="L24" s="8" t="str">
        <f aca="false">IF(J24="","",MAX(J24,0))</f>
        <v/>
      </c>
      <c r="M24" s="12" t="str">
        <f aca="false">IF(OR(J24="",J24&lt;=0),"",F24/J24)</f>
        <v/>
      </c>
      <c r="N24" s="18"/>
      <c r="O24" s="15"/>
      <c r="P24" s="18"/>
    </row>
    <row r="25" customFormat="false" ht="15" hidden="false" customHeight="false" outlineLevel="0" collapsed="false">
      <c r="A25" s="14" t="n">
        <v>21</v>
      </c>
      <c r="B25" s="18"/>
      <c r="C25" s="18"/>
      <c r="D25" s="18"/>
      <c r="E25" s="19"/>
      <c r="F25" s="15"/>
      <c r="G25" s="15"/>
      <c r="H25" s="15"/>
      <c r="I25" s="16"/>
      <c r="J25" s="8" t="str">
        <f aca="false">IF(F25="","",F25-G25-H25-F25*I25)</f>
        <v/>
      </c>
      <c r="K25" s="11" t="str">
        <f aca="false">IF(OR(F25="",F25=0),"",J25/F25)</f>
        <v/>
      </c>
      <c r="L25" s="8" t="str">
        <f aca="false">IF(J25="","",MAX(J25,0))</f>
        <v/>
      </c>
      <c r="M25" s="12" t="str">
        <f aca="false">IF(OR(J25="",J25&lt;=0),"",F25/J25)</f>
        <v/>
      </c>
      <c r="N25" s="18"/>
      <c r="O25" s="15"/>
      <c r="P25" s="18"/>
    </row>
    <row r="26" customFormat="false" ht="15" hidden="false" customHeight="false" outlineLevel="0" collapsed="false">
      <c r="A26" s="14" t="n">
        <v>22</v>
      </c>
      <c r="B26" s="18"/>
      <c r="C26" s="18"/>
      <c r="D26" s="18"/>
      <c r="E26" s="19"/>
      <c r="F26" s="15"/>
      <c r="G26" s="15"/>
      <c r="H26" s="15"/>
      <c r="I26" s="16"/>
      <c r="J26" s="8" t="str">
        <f aca="false">IF(F26="","",F26-G26-H26-F26*I26)</f>
        <v/>
      </c>
      <c r="K26" s="11" t="str">
        <f aca="false">IF(OR(F26="",F26=0),"",J26/F26)</f>
        <v/>
      </c>
      <c r="L26" s="8" t="str">
        <f aca="false">IF(J26="","",MAX(J26,0))</f>
        <v/>
      </c>
      <c r="M26" s="12" t="str">
        <f aca="false">IF(OR(J26="",J26&lt;=0),"",F26/J26)</f>
        <v/>
      </c>
      <c r="N26" s="18"/>
      <c r="O26" s="15"/>
      <c r="P26" s="18"/>
    </row>
    <row r="27" customFormat="false" ht="15" hidden="false" customHeight="false" outlineLevel="0" collapsed="false">
      <c r="A27" s="14" t="n">
        <v>23</v>
      </c>
      <c r="B27" s="18"/>
      <c r="C27" s="18"/>
      <c r="D27" s="18"/>
      <c r="E27" s="19"/>
      <c r="F27" s="15"/>
      <c r="G27" s="15"/>
      <c r="H27" s="15"/>
      <c r="I27" s="16"/>
      <c r="J27" s="8" t="str">
        <f aca="false">IF(F27="","",F27-G27-H27-F27*I27)</f>
        <v/>
      </c>
      <c r="K27" s="11" t="str">
        <f aca="false">IF(OR(F27="",F27=0),"",J27/F27)</f>
        <v/>
      </c>
      <c r="L27" s="8" t="str">
        <f aca="false">IF(J27="","",MAX(J27,0))</f>
        <v/>
      </c>
      <c r="M27" s="12" t="str">
        <f aca="false">IF(OR(J27="",J27&lt;=0),"",F27/J27)</f>
        <v/>
      </c>
      <c r="N27" s="18"/>
      <c r="O27" s="15"/>
      <c r="P27" s="18"/>
    </row>
    <row r="28" customFormat="false" ht="15" hidden="false" customHeight="false" outlineLevel="0" collapsed="false">
      <c r="A28" s="14" t="n">
        <v>24</v>
      </c>
      <c r="B28" s="18"/>
      <c r="C28" s="18"/>
      <c r="D28" s="18"/>
      <c r="E28" s="19"/>
      <c r="F28" s="15"/>
      <c r="G28" s="15"/>
      <c r="H28" s="15"/>
      <c r="I28" s="16"/>
      <c r="J28" s="8" t="str">
        <f aca="false">IF(F28="","",F28-G28-H28-F28*I28)</f>
        <v/>
      </c>
      <c r="K28" s="11" t="str">
        <f aca="false">IF(OR(F28="",F28=0),"",J28/F28)</f>
        <v/>
      </c>
      <c r="L28" s="8" t="str">
        <f aca="false">IF(J28="","",MAX(J28,0))</f>
        <v/>
      </c>
      <c r="M28" s="12" t="str">
        <f aca="false">IF(OR(J28="",J28&lt;=0),"",F28/J28)</f>
        <v/>
      </c>
      <c r="N28" s="18"/>
      <c r="O28" s="15"/>
      <c r="P28" s="18"/>
    </row>
    <row r="29" customFormat="false" ht="15" hidden="false" customHeight="false" outlineLevel="0" collapsed="false">
      <c r="A29" s="14" t="n">
        <v>25</v>
      </c>
      <c r="B29" s="18"/>
      <c r="C29" s="18"/>
      <c r="D29" s="18"/>
      <c r="E29" s="19"/>
      <c r="F29" s="15"/>
      <c r="G29" s="15"/>
      <c r="H29" s="15"/>
      <c r="I29" s="16"/>
      <c r="J29" s="8" t="str">
        <f aca="false">IF(F29="","",F29-G29-H29-F29*I29)</f>
        <v/>
      </c>
      <c r="K29" s="11" t="str">
        <f aca="false">IF(OR(F29="",F29=0),"",J29/F29)</f>
        <v/>
      </c>
      <c r="L29" s="8" t="str">
        <f aca="false">IF(J29="","",MAX(J29,0))</f>
        <v/>
      </c>
      <c r="M29" s="12" t="str">
        <f aca="false">IF(OR(J29="",J29&lt;=0),"",F29/J29)</f>
        <v/>
      </c>
      <c r="N29" s="18"/>
      <c r="O29" s="15"/>
      <c r="P29" s="18"/>
    </row>
    <row r="30" customFormat="false" ht="15" hidden="false" customHeight="false" outlineLevel="0" collapsed="false">
      <c r="A30" s="14" t="n">
        <v>26</v>
      </c>
      <c r="B30" s="18"/>
      <c r="C30" s="18"/>
      <c r="D30" s="18"/>
      <c r="E30" s="19"/>
      <c r="F30" s="15"/>
      <c r="G30" s="15"/>
      <c r="H30" s="15"/>
      <c r="I30" s="16"/>
      <c r="J30" s="8" t="str">
        <f aca="false">IF(F30="","",F30-G30-H30-F30*I30)</f>
        <v/>
      </c>
      <c r="K30" s="11" t="str">
        <f aca="false">IF(OR(F30="",F30=0),"",J30/F30)</f>
        <v/>
      </c>
      <c r="L30" s="8" t="str">
        <f aca="false">IF(J30="","",MAX(J30,0))</f>
        <v/>
      </c>
      <c r="M30" s="12" t="str">
        <f aca="false">IF(OR(J30="",J30&lt;=0),"",F30/J30)</f>
        <v/>
      </c>
      <c r="N30" s="18"/>
      <c r="O30" s="15"/>
      <c r="P30" s="18"/>
    </row>
    <row r="31" customFormat="false" ht="15" hidden="false" customHeight="false" outlineLevel="0" collapsed="false">
      <c r="A31" s="14" t="n">
        <v>27</v>
      </c>
      <c r="B31" s="18"/>
      <c r="C31" s="18"/>
      <c r="D31" s="18"/>
      <c r="E31" s="19"/>
      <c r="F31" s="15"/>
      <c r="G31" s="15"/>
      <c r="H31" s="15"/>
      <c r="I31" s="16"/>
      <c r="J31" s="8" t="str">
        <f aca="false">IF(F31="","",F31-G31-H31-F31*I31)</f>
        <v/>
      </c>
      <c r="K31" s="11" t="str">
        <f aca="false">IF(OR(F31="",F31=0),"",J31/F31)</f>
        <v/>
      </c>
      <c r="L31" s="8" t="str">
        <f aca="false">IF(J31="","",MAX(J31,0))</f>
        <v/>
      </c>
      <c r="M31" s="12" t="str">
        <f aca="false">IF(OR(J31="",J31&lt;=0),"",F31/J31)</f>
        <v/>
      </c>
      <c r="N31" s="18"/>
      <c r="O31" s="15"/>
      <c r="P31" s="18"/>
    </row>
    <row r="32" customFormat="false" ht="15" hidden="false" customHeight="false" outlineLevel="0" collapsed="false">
      <c r="A32" s="14" t="n">
        <v>28</v>
      </c>
      <c r="B32" s="18"/>
      <c r="C32" s="18"/>
      <c r="D32" s="18"/>
      <c r="E32" s="19"/>
      <c r="F32" s="15"/>
      <c r="G32" s="15"/>
      <c r="H32" s="15"/>
      <c r="I32" s="16"/>
      <c r="J32" s="8" t="str">
        <f aca="false">IF(F32="","",F32-G32-H32-F32*I32)</f>
        <v/>
      </c>
      <c r="K32" s="11" t="str">
        <f aca="false">IF(OR(F32="",F32=0),"",J32/F32)</f>
        <v/>
      </c>
      <c r="L32" s="8" t="str">
        <f aca="false">IF(J32="","",MAX(J32,0))</f>
        <v/>
      </c>
      <c r="M32" s="12" t="str">
        <f aca="false">IF(OR(J32="",J32&lt;=0),"",F32/J32)</f>
        <v/>
      </c>
      <c r="N32" s="18"/>
      <c r="O32" s="15"/>
      <c r="P32" s="18"/>
    </row>
    <row r="33" customFormat="false" ht="15" hidden="false" customHeight="false" outlineLevel="0" collapsed="false">
      <c r="A33" s="14" t="n">
        <v>29</v>
      </c>
      <c r="B33" s="18"/>
      <c r="C33" s="18"/>
      <c r="D33" s="18"/>
      <c r="E33" s="19"/>
      <c r="F33" s="15"/>
      <c r="G33" s="15"/>
      <c r="H33" s="15"/>
      <c r="I33" s="16"/>
      <c r="J33" s="8" t="str">
        <f aca="false">IF(F33="","",F33-G33-H33-F33*I33)</f>
        <v/>
      </c>
      <c r="K33" s="11" t="str">
        <f aca="false">IF(OR(F33="",F33=0),"",J33/F33)</f>
        <v/>
      </c>
      <c r="L33" s="8" t="str">
        <f aca="false">IF(J33="","",MAX(J33,0))</f>
        <v/>
      </c>
      <c r="M33" s="12" t="str">
        <f aca="false">IF(OR(J33="",J33&lt;=0),"",F33/J33)</f>
        <v/>
      </c>
      <c r="N33" s="18"/>
      <c r="O33" s="15"/>
      <c r="P33" s="18"/>
    </row>
    <row r="34" customFormat="false" ht="15" hidden="false" customHeight="false" outlineLevel="0" collapsed="false">
      <c r="A34" s="14" t="n">
        <v>30</v>
      </c>
      <c r="B34" s="18"/>
      <c r="C34" s="18"/>
      <c r="D34" s="18"/>
      <c r="E34" s="19"/>
      <c r="F34" s="15"/>
      <c r="G34" s="15"/>
      <c r="H34" s="15"/>
      <c r="I34" s="16"/>
      <c r="J34" s="8" t="str">
        <f aca="false">IF(F34="","",F34-G34-H34-F34*I34)</f>
        <v/>
      </c>
      <c r="K34" s="11" t="str">
        <f aca="false">IF(OR(F34="",F34=0),"",J34/F34)</f>
        <v/>
      </c>
      <c r="L34" s="8" t="str">
        <f aca="false">IF(J34="","",MAX(J34,0))</f>
        <v/>
      </c>
      <c r="M34" s="12" t="str">
        <f aca="false">IF(OR(J34="",J34&lt;=0),"",F34/J34)</f>
        <v/>
      </c>
      <c r="N34" s="18"/>
      <c r="O34" s="15"/>
      <c r="P34" s="18"/>
    </row>
    <row r="36" customFormat="false" ht="15" hidden="false" customHeight="false" outlineLevel="0" collapsed="false">
      <c r="A36" s="2" t="s">
        <v>119</v>
      </c>
    </row>
  </sheetData>
  <conditionalFormatting sqref="D5:D34">
    <cfRule type="cellIs" priority="2" operator="equal" aboveAverage="0" equalAverage="0" bottom="0" percent="0" rank="0" text="" dxfId="3">
      <formula>"Publicada"</formula>
    </cfRule>
    <cfRule type="cellIs" priority="3" operator="equal" aboveAverage="0" equalAverage="0" bottom="0" percent="0" rank="0" text="" dxfId="4">
      <formula>"En creación"</formula>
    </cfRule>
    <cfRule type="cellIs" priority="4" operator="equal" aboveAverage="0" equalAverage="0" bottom="0" percent="0" rank="0" text="" dxfId="5">
      <formula>"Pausada"</formula>
    </cfRule>
    <cfRule type="cellIs" priority="5" operator="equal" aboveAverage="0" equalAverage="0" bottom="0" percent="0" rank="0" text="" dxfId="6">
      <formula>"Descartada"</formula>
    </cfRule>
  </conditionalFormatting>
  <dataValidations count="2">
    <dataValidation allowBlank="true" errorStyle="stop" operator="between" showDropDown="false" showErrorMessage="false" showInputMessage="false" sqref="D5:D34" type="list">
      <formula1>"Idea,En creación,Publicada,Pausada,Descartada"</formula1>
      <formula2>0</formula2>
    </dataValidation>
    <dataValidation allowBlank="true" errorStyle="stop" operator="between" showDropDown="false" showErrorMessage="false" showInputMessage="false" sqref="N5:N34" type="list">
      <formula1>"Meta (Facebook/Instagram),TikTok,Google,Otro"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6" min="5" style="0" width="13"/>
    <col collapsed="false" customWidth="true" hidden="false" outlineLevel="0" max="7" min="7" style="0" width="17"/>
  </cols>
  <sheetData>
    <row r="1" customFormat="false" ht="19.7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31.5" hidden="false" customHeight="true" outlineLevel="0" collapsed="false">
      <c r="A4" s="13" t="s">
        <v>122</v>
      </c>
      <c r="B4" s="13" t="s">
        <v>123</v>
      </c>
      <c r="C4" s="13" t="s">
        <v>37</v>
      </c>
      <c r="D4" s="13" t="s">
        <v>124</v>
      </c>
      <c r="E4" s="13" t="s">
        <v>125</v>
      </c>
      <c r="F4" s="13" t="s">
        <v>126</v>
      </c>
      <c r="G4" s="13" t="s">
        <v>127</v>
      </c>
    </row>
    <row r="5" customFormat="false" ht="15" hidden="false" customHeight="false" outlineLevel="0" collapsed="false">
      <c r="A5" s="19" t="n">
        <v>46296</v>
      </c>
      <c r="B5" s="18" t="s">
        <v>128</v>
      </c>
      <c r="C5" s="18" t="s">
        <v>106</v>
      </c>
      <c r="D5" s="18" t="s">
        <v>129</v>
      </c>
      <c r="E5" s="15" t="n">
        <v>39.99</v>
      </c>
      <c r="F5" s="15"/>
      <c r="G5" s="8" t="n">
        <f aca="false">IF(AND(E5="",F5=""),"",SUM($E$5:E5)-SUM($F$5:F5))</f>
        <v>39.99</v>
      </c>
    </row>
    <row r="6" customFormat="false" ht="15" hidden="false" customHeight="false" outlineLevel="0" collapsed="false">
      <c r="A6" s="19" t="n">
        <v>46296</v>
      </c>
      <c r="B6" s="18" t="s">
        <v>25</v>
      </c>
      <c r="C6" s="18" t="s">
        <v>106</v>
      </c>
      <c r="D6" s="18" t="s">
        <v>130</v>
      </c>
      <c r="E6" s="15"/>
      <c r="F6" s="15" t="n">
        <v>15</v>
      </c>
      <c r="G6" s="8" t="n">
        <f aca="false">IF(AND(E6="",F6=""),"",SUM($E$5:E6)-SUM($F$5:F6))</f>
        <v>24.99</v>
      </c>
    </row>
    <row r="7" customFormat="false" ht="15" hidden="false" customHeight="false" outlineLevel="0" collapsed="false">
      <c r="A7" s="19" t="n">
        <v>46297</v>
      </c>
      <c r="B7" s="18" t="s">
        <v>24</v>
      </c>
      <c r="C7" s="18" t="s">
        <v>106</v>
      </c>
      <c r="D7" s="18" t="s">
        <v>131</v>
      </c>
      <c r="E7" s="15"/>
      <c r="F7" s="15" t="n">
        <v>240</v>
      </c>
      <c r="G7" s="8" t="n">
        <f aca="false">IF(AND(E7="",F7=""),"",SUM($E$5:E7)-SUM($F$5:F7))</f>
        <v>-215.01</v>
      </c>
    </row>
    <row r="8" customFormat="false" ht="15" hidden="false" customHeight="false" outlineLevel="0" collapsed="false">
      <c r="A8" s="19" t="n">
        <v>46298</v>
      </c>
      <c r="B8" s="18" t="s">
        <v>132</v>
      </c>
      <c r="C8" s="18" t="s">
        <v>106</v>
      </c>
      <c r="D8" s="18" t="s">
        <v>133</v>
      </c>
      <c r="E8" s="15"/>
      <c r="F8" s="15" t="n">
        <v>5</v>
      </c>
      <c r="G8" s="8" t="n">
        <f aca="false">IF(AND(E8="",F8=""),"",SUM($E$5:E8)-SUM($F$5:F8))</f>
        <v>-220.01</v>
      </c>
    </row>
    <row r="9" customFormat="false" ht="15" hidden="false" customHeight="false" outlineLevel="0" collapsed="false">
      <c r="A9" s="19" t="n">
        <v>46299</v>
      </c>
      <c r="B9" s="18" t="s">
        <v>128</v>
      </c>
      <c r="C9" s="18" t="s">
        <v>106</v>
      </c>
      <c r="D9" s="18" t="s">
        <v>134</v>
      </c>
      <c r="E9" s="15" t="n">
        <v>39.99</v>
      </c>
      <c r="F9" s="15"/>
      <c r="G9" s="8" t="n">
        <f aca="false">IF(AND(E9="",F9=""),"",SUM($E$5:E9)-SUM($F$5:F9))</f>
        <v>-180.02</v>
      </c>
    </row>
    <row r="10" customFormat="false" ht="15" hidden="false" customHeight="false" outlineLevel="0" collapsed="false">
      <c r="A10" s="19"/>
      <c r="B10" s="18"/>
      <c r="C10" s="18"/>
      <c r="D10" s="18"/>
      <c r="E10" s="15"/>
      <c r="F10" s="15"/>
      <c r="G10" s="8" t="str">
        <f aca="false">IF(AND(E10="",F10=""),"",SUM($E$5:E10)-SUM($F$5:F10))</f>
        <v/>
      </c>
    </row>
    <row r="11" customFormat="false" ht="15" hidden="false" customHeight="false" outlineLevel="0" collapsed="false">
      <c r="A11" s="19"/>
      <c r="B11" s="18"/>
      <c r="C11" s="18"/>
      <c r="D11" s="18"/>
      <c r="E11" s="15"/>
      <c r="F11" s="15"/>
      <c r="G11" s="8" t="str">
        <f aca="false">IF(AND(E11="",F11=""),"",SUM($E$5:E11)-SUM($F$5:F11))</f>
        <v/>
      </c>
    </row>
    <row r="12" customFormat="false" ht="15" hidden="false" customHeight="false" outlineLevel="0" collapsed="false">
      <c r="A12" s="19"/>
      <c r="B12" s="18"/>
      <c r="C12" s="18"/>
      <c r="D12" s="18"/>
      <c r="E12" s="15"/>
      <c r="F12" s="15"/>
      <c r="G12" s="8" t="str">
        <f aca="false">IF(AND(E12="",F12=""),"",SUM($E$5:E12)-SUM($F$5:F12))</f>
        <v/>
      </c>
    </row>
    <row r="13" customFormat="false" ht="15" hidden="false" customHeight="false" outlineLevel="0" collapsed="false">
      <c r="A13" s="19"/>
      <c r="B13" s="18"/>
      <c r="C13" s="18"/>
      <c r="D13" s="18"/>
      <c r="E13" s="15"/>
      <c r="F13" s="15"/>
      <c r="G13" s="8" t="str">
        <f aca="false">IF(AND(E13="",F13=""),"",SUM($E$5:E13)-SUM($F$5:F13))</f>
        <v/>
      </c>
    </row>
    <row r="14" customFormat="false" ht="15" hidden="false" customHeight="false" outlineLevel="0" collapsed="false">
      <c r="A14" s="19"/>
      <c r="B14" s="18"/>
      <c r="C14" s="18"/>
      <c r="D14" s="18"/>
      <c r="E14" s="15"/>
      <c r="F14" s="15"/>
      <c r="G14" s="8" t="str">
        <f aca="false">IF(AND(E14="",F14=""),"",SUM($E$5:E14)-SUM($F$5:F14))</f>
        <v/>
      </c>
    </row>
    <row r="15" customFormat="false" ht="15" hidden="false" customHeight="false" outlineLevel="0" collapsed="false">
      <c r="A15" s="19"/>
      <c r="B15" s="18"/>
      <c r="C15" s="18"/>
      <c r="D15" s="18"/>
      <c r="E15" s="15"/>
      <c r="F15" s="15"/>
      <c r="G15" s="8" t="str">
        <f aca="false">IF(AND(E15="",F15=""),"",SUM($E$5:E15)-SUM($F$5:F15))</f>
        <v/>
      </c>
    </row>
    <row r="16" customFormat="false" ht="15" hidden="false" customHeight="false" outlineLevel="0" collapsed="false">
      <c r="A16" s="19"/>
      <c r="B16" s="18"/>
      <c r="C16" s="18"/>
      <c r="D16" s="18"/>
      <c r="E16" s="15"/>
      <c r="F16" s="15"/>
      <c r="G16" s="8" t="str">
        <f aca="false">IF(AND(E16="",F16=""),"",SUM($E$5:E16)-SUM($F$5:F16))</f>
        <v/>
      </c>
    </row>
    <row r="17" customFormat="false" ht="15" hidden="false" customHeight="false" outlineLevel="0" collapsed="false">
      <c r="A17" s="19"/>
      <c r="B17" s="18"/>
      <c r="C17" s="18"/>
      <c r="D17" s="18"/>
      <c r="E17" s="15"/>
      <c r="F17" s="15"/>
      <c r="G17" s="8" t="str">
        <f aca="false">IF(AND(E17="",F17=""),"",SUM($E$5:E17)-SUM($F$5:F17))</f>
        <v/>
      </c>
    </row>
    <row r="18" customFormat="false" ht="15" hidden="false" customHeight="false" outlineLevel="0" collapsed="false">
      <c r="A18" s="19"/>
      <c r="B18" s="18"/>
      <c r="C18" s="18"/>
      <c r="D18" s="18"/>
      <c r="E18" s="15"/>
      <c r="F18" s="15"/>
      <c r="G18" s="8" t="str">
        <f aca="false">IF(AND(E18="",F18=""),"",SUM($E$5:E18)-SUM($F$5:F18))</f>
        <v/>
      </c>
    </row>
    <row r="19" customFormat="false" ht="15" hidden="false" customHeight="false" outlineLevel="0" collapsed="false">
      <c r="A19" s="19"/>
      <c r="B19" s="18"/>
      <c r="C19" s="18"/>
      <c r="D19" s="18"/>
      <c r="E19" s="15"/>
      <c r="F19" s="15"/>
      <c r="G19" s="8" t="str">
        <f aca="false">IF(AND(E19="",F19=""),"",SUM($E$5:E19)-SUM($F$5:F19))</f>
        <v/>
      </c>
    </row>
    <row r="20" customFormat="false" ht="15" hidden="false" customHeight="false" outlineLevel="0" collapsed="false">
      <c r="A20" s="19"/>
      <c r="B20" s="18"/>
      <c r="C20" s="18"/>
      <c r="D20" s="18"/>
      <c r="E20" s="15"/>
      <c r="F20" s="15"/>
      <c r="G20" s="8" t="str">
        <f aca="false">IF(AND(E20="",F20=""),"",SUM($E$5:E20)-SUM($F$5:F20))</f>
        <v/>
      </c>
    </row>
    <row r="21" customFormat="false" ht="15" hidden="false" customHeight="false" outlineLevel="0" collapsed="false">
      <c r="A21" s="19"/>
      <c r="B21" s="18"/>
      <c r="C21" s="18"/>
      <c r="D21" s="18"/>
      <c r="E21" s="15"/>
      <c r="F21" s="15"/>
      <c r="G21" s="8" t="str">
        <f aca="false">IF(AND(E21="",F21=""),"",SUM($E$5:E21)-SUM($F$5:F21))</f>
        <v/>
      </c>
    </row>
    <row r="22" customFormat="false" ht="15" hidden="false" customHeight="false" outlineLevel="0" collapsed="false">
      <c r="A22" s="19"/>
      <c r="B22" s="18"/>
      <c r="C22" s="18"/>
      <c r="D22" s="18"/>
      <c r="E22" s="15"/>
      <c r="F22" s="15"/>
      <c r="G22" s="8" t="str">
        <f aca="false">IF(AND(E22="",F22=""),"",SUM($E$5:E22)-SUM($F$5:F22))</f>
        <v/>
      </c>
    </row>
    <row r="23" customFormat="false" ht="15" hidden="false" customHeight="false" outlineLevel="0" collapsed="false">
      <c r="A23" s="19"/>
      <c r="B23" s="18"/>
      <c r="C23" s="18"/>
      <c r="D23" s="18"/>
      <c r="E23" s="15"/>
      <c r="F23" s="15"/>
      <c r="G23" s="8" t="str">
        <f aca="false">IF(AND(E23="",F23=""),"",SUM($E$5:E23)-SUM($F$5:F23))</f>
        <v/>
      </c>
    </row>
    <row r="24" customFormat="false" ht="15" hidden="false" customHeight="false" outlineLevel="0" collapsed="false">
      <c r="A24" s="19"/>
      <c r="B24" s="18"/>
      <c r="C24" s="18"/>
      <c r="D24" s="18"/>
      <c r="E24" s="15"/>
      <c r="F24" s="15"/>
      <c r="G24" s="8" t="str">
        <f aca="false">IF(AND(E24="",F24=""),"",SUM($E$5:E24)-SUM($F$5:F24))</f>
        <v/>
      </c>
    </row>
    <row r="25" customFormat="false" ht="15" hidden="false" customHeight="false" outlineLevel="0" collapsed="false">
      <c r="A25" s="19"/>
      <c r="B25" s="18"/>
      <c r="C25" s="18"/>
      <c r="D25" s="18"/>
      <c r="E25" s="15"/>
      <c r="F25" s="15"/>
      <c r="G25" s="8" t="str">
        <f aca="false">IF(AND(E25="",F25=""),"",SUM($E$5:E25)-SUM($F$5:F25))</f>
        <v/>
      </c>
    </row>
    <row r="26" customFormat="false" ht="15" hidden="false" customHeight="false" outlineLevel="0" collapsed="false">
      <c r="A26" s="19"/>
      <c r="B26" s="18"/>
      <c r="C26" s="18"/>
      <c r="D26" s="18"/>
      <c r="E26" s="15"/>
      <c r="F26" s="15"/>
      <c r="G26" s="8" t="str">
        <f aca="false">IF(AND(E26="",F26=""),"",SUM($E$5:E26)-SUM($F$5:F26))</f>
        <v/>
      </c>
    </row>
    <row r="27" customFormat="false" ht="15" hidden="false" customHeight="false" outlineLevel="0" collapsed="false">
      <c r="A27" s="19"/>
      <c r="B27" s="18"/>
      <c r="C27" s="18"/>
      <c r="D27" s="18"/>
      <c r="E27" s="15"/>
      <c r="F27" s="15"/>
      <c r="G27" s="8" t="str">
        <f aca="false">IF(AND(E27="",F27=""),"",SUM($E$5:E27)-SUM($F$5:F27))</f>
        <v/>
      </c>
    </row>
    <row r="28" customFormat="false" ht="15" hidden="false" customHeight="false" outlineLevel="0" collapsed="false">
      <c r="A28" s="19"/>
      <c r="B28" s="18"/>
      <c r="C28" s="18"/>
      <c r="D28" s="18"/>
      <c r="E28" s="15"/>
      <c r="F28" s="15"/>
      <c r="G28" s="8" t="str">
        <f aca="false">IF(AND(E28="",F28=""),"",SUM($E$5:E28)-SUM($F$5:F28))</f>
        <v/>
      </c>
    </row>
    <row r="29" customFormat="false" ht="15" hidden="false" customHeight="false" outlineLevel="0" collapsed="false">
      <c r="A29" s="19"/>
      <c r="B29" s="18"/>
      <c r="C29" s="18"/>
      <c r="D29" s="18"/>
      <c r="E29" s="15"/>
      <c r="F29" s="15"/>
      <c r="G29" s="8" t="str">
        <f aca="false">IF(AND(E29="",F29=""),"",SUM($E$5:E29)-SUM($F$5:F29))</f>
        <v/>
      </c>
    </row>
    <row r="30" customFormat="false" ht="15" hidden="false" customHeight="false" outlineLevel="0" collapsed="false">
      <c r="A30" s="19"/>
      <c r="B30" s="18"/>
      <c r="C30" s="18"/>
      <c r="D30" s="18"/>
      <c r="E30" s="15"/>
      <c r="F30" s="15"/>
      <c r="G30" s="8" t="str">
        <f aca="false">IF(AND(E30="",F30=""),"",SUM($E$5:E30)-SUM($F$5:F30))</f>
        <v/>
      </c>
    </row>
    <row r="31" customFormat="false" ht="15" hidden="false" customHeight="false" outlineLevel="0" collapsed="false">
      <c r="A31" s="19"/>
      <c r="B31" s="18"/>
      <c r="C31" s="18"/>
      <c r="D31" s="18"/>
      <c r="E31" s="15"/>
      <c r="F31" s="15"/>
      <c r="G31" s="8" t="str">
        <f aca="false">IF(AND(E31="",F31=""),"",SUM($E$5:E31)-SUM($F$5:F31))</f>
        <v/>
      </c>
    </row>
    <row r="32" customFormat="false" ht="15" hidden="false" customHeight="false" outlineLevel="0" collapsed="false">
      <c r="A32" s="19"/>
      <c r="B32" s="18"/>
      <c r="C32" s="18"/>
      <c r="D32" s="18"/>
      <c r="E32" s="15"/>
      <c r="F32" s="15"/>
      <c r="G32" s="8" t="str">
        <f aca="false">IF(AND(E32="",F32=""),"",SUM($E$5:E32)-SUM($F$5:F32))</f>
        <v/>
      </c>
    </row>
    <row r="33" customFormat="false" ht="15" hidden="false" customHeight="false" outlineLevel="0" collapsed="false">
      <c r="A33" s="19"/>
      <c r="B33" s="18"/>
      <c r="C33" s="18"/>
      <c r="D33" s="18"/>
      <c r="E33" s="15"/>
      <c r="F33" s="15"/>
      <c r="G33" s="8" t="str">
        <f aca="false">IF(AND(E33="",F33=""),"",SUM($E$5:E33)-SUM($F$5:F33))</f>
        <v/>
      </c>
    </row>
    <row r="34" customFormat="false" ht="15" hidden="false" customHeight="false" outlineLevel="0" collapsed="false">
      <c r="A34" s="19"/>
      <c r="B34" s="18"/>
      <c r="C34" s="18"/>
      <c r="D34" s="18"/>
      <c r="E34" s="15"/>
      <c r="F34" s="15"/>
      <c r="G34" s="8" t="str">
        <f aca="false">IF(AND(E34="",F34=""),"",SUM($E$5:E34)-SUM($F$5:F34))</f>
        <v/>
      </c>
    </row>
    <row r="35" customFormat="false" ht="15" hidden="false" customHeight="false" outlineLevel="0" collapsed="false">
      <c r="A35" s="19"/>
      <c r="B35" s="18"/>
      <c r="C35" s="18"/>
      <c r="D35" s="18"/>
      <c r="E35" s="15"/>
      <c r="F35" s="15"/>
      <c r="G35" s="8" t="str">
        <f aca="false">IF(AND(E35="",F35=""),"",SUM($E$5:E35)-SUM($F$5:F35))</f>
        <v/>
      </c>
    </row>
    <row r="36" customFormat="false" ht="15" hidden="false" customHeight="false" outlineLevel="0" collapsed="false">
      <c r="A36" s="19"/>
      <c r="B36" s="18"/>
      <c r="C36" s="18"/>
      <c r="D36" s="18"/>
      <c r="E36" s="15"/>
      <c r="F36" s="15"/>
      <c r="G36" s="8" t="str">
        <f aca="false">IF(AND(E36="",F36=""),"",SUM($E$5:E36)-SUM($F$5:F36))</f>
        <v/>
      </c>
    </row>
    <row r="37" customFormat="false" ht="15" hidden="false" customHeight="false" outlineLevel="0" collapsed="false">
      <c r="A37" s="19"/>
      <c r="B37" s="18"/>
      <c r="C37" s="18"/>
      <c r="D37" s="18"/>
      <c r="E37" s="15"/>
      <c r="F37" s="15"/>
      <c r="G37" s="8" t="str">
        <f aca="false">IF(AND(E37="",F37=""),"",SUM($E$5:E37)-SUM($F$5:F37))</f>
        <v/>
      </c>
    </row>
    <row r="38" customFormat="false" ht="15" hidden="false" customHeight="false" outlineLevel="0" collapsed="false">
      <c r="A38" s="19"/>
      <c r="B38" s="18"/>
      <c r="C38" s="18"/>
      <c r="D38" s="18"/>
      <c r="E38" s="15"/>
      <c r="F38" s="15"/>
      <c r="G38" s="8" t="str">
        <f aca="false">IF(AND(E38="",F38=""),"",SUM($E$5:E38)-SUM($F$5:F38))</f>
        <v/>
      </c>
    </row>
    <row r="39" customFormat="false" ht="15" hidden="false" customHeight="false" outlineLevel="0" collapsed="false">
      <c r="A39" s="19"/>
      <c r="B39" s="18"/>
      <c r="C39" s="18"/>
      <c r="D39" s="18"/>
      <c r="E39" s="15"/>
      <c r="F39" s="15"/>
      <c r="G39" s="8" t="str">
        <f aca="false">IF(AND(E39="",F39=""),"",SUM($E$5:E39)-SUM($F$5:F39))</f>
        <v/>
      </c>
    </row>
    <row r="40" customFormat="false" ht="15" hidden="false" customHeight="false" outlineLevel="0" collapsed="false">
      <c r="A40" s="19"/>
      <c r="B40" s="18"/>
      <c r="C40" s="18"/>
      <c r="D40" s="18"/>
      <c r="E40" s="15"/>
      <c r="F40" s="15"/>
      <c r="G40" s="8" t="str">
        <f aca="false">IF(AND(E40="",F40=""),"",SUM($E$5:E40)-SUM($F$5:F40))</f>
        <v/>
      </c>
    </row>
    <row r="41" customFormat="false" ht="15" hidden="false" customHeight="false" outlineLevel="0" collapsed="false">
      <c r="A41" s="19"/>
      <c r="B41" s="18"/>
      <c r="C41" s="18"/>
      <c r="D41" s="18"/>
      <c r="E41" s="15"/>
      <c r="F41" s="15"/>
      <c r="G41" s="8" t="str">
        <f aca="false">IF(AND(E41="",F41=""),"",SUM($E$5:E41)-SUM($F$5:F41))</f>
        <v/>
      </c>
    </row>
    <row r="42" customFormat="false" ht="15" hidden="false" customHeight="false" outlineLevel="0" collapsed="false">
      <c r="A42" s="19"/>
      <c r="B42" s="18"/>
      <c r="C42" s="18"/>
      <c r="D42" s="18"/>
      <c r="E42" s="15"/>
      <c r="F42" s="15"/>
      <c r="G42" s="8" t="str">
        <f aca="false">IF(AND(E42="",F42=""),"",SUM($E$5:E42)-SUM($F$5:F42))</f>
        <v/>
      </c>
    </row>
    <row r="43" customFormat="false" ht="15" hidden="false" customHeight="false" outlineLevel="0" collapsed="false">
      <c r="A43" s="19"/>
      <c r="B43" s="18"/>
      <c r="C43" s="18"/>
      <c r="D43" s="18"/>
      <c r="E43" s="15"/>
      <c r="F43" s="15"/>
      <c r="G43" s="8" t="str">
        <f aca="false">IF(AND(E43="",F43=""),"",SUM($E$5:E43)-SUM($F$5:F43))</f>
        <v/>
      </c>
    </row>
    <row r="44" customFormat="false" ht="15" hidden="false" customHeight="false" outlineLevel="0" collapsed="false">
      <c r="A44" s="19"/>
      <c r="B44" s="18"/>
      <c r="C44" s="18"/>
      <c r="D44" s="18"/>
      <c r="E44" s="15"/>
      <c r="F44" s="15"/>
      <c r="G44" s="8" t="str">
        <f aca="false">IF(AND(E44="",F44=""),"",SUM($E$5:E44)-SUM($F$5:F44))</f>
        <v/>
      </c>
    </row>
    <row r="45" customFormat="false" ht="15" hidden="false" customHeight="false" outlineLevel="0" collapsed="false">
      <c r="A45" s="19"/>
      <c r="B45" s="18"/>
      <c r="C45" s="18"/>
      <c r="D45" s="18"/>
      <c r="E45" s="15"/>
      <c r="F45" s="15"/>
      <c r="G45" s="8" t="str">
        <f aca="false">IF(AND(E45="",F45=""),"",SUM($E$5:E45)-SUM($F$5:F45))</f>
        <v/>
      </c>
    </row>
    <row r="46" customFormat="false" ht="15" hidden="false" customHeight="false" outlineLevel="0" collapsed="false">
      <c r="A46" s="19"/>
      <c r="B46" s="18"/>
      <c r="C46" s="18"/>
      <c r="D46" s="18"/>
      <c r="E46" s="15"/>
      <c r="F46" s="15"/>
      <c r="G46" s="8" t="str">
        <f aca="false">IF(AND(E46="",F46=""),"",SUM($E$5:E46)-SUM($F$5:F46))</f>
        <v/>
      </c>
    </row>
    <row r="47" customFormat="false" ht="15" hidden="false" customHeight="false" outlineLevel="0" collapsed="false">
      <c r="A47" s="19"/>
      <c r="B47" s="18"/>
      <c r="C47" s="18"/>
      <c r="D47" s="18"/>
      <c r="E47" s="15"/>
      <c r="F47" s="15"/>
      <c r="G47" s="8" t="str">
        <f aca="false">IF(AND(E47="",F47=""),"",SUM($E$5:E47)-SUM($F$5:F47))</f>
        <v/>
      </c>
    </row>
    <row r="48" customFormat="false" ht="15" hidden="false" customHeight="false" outlineLevel="0" collapsed="false">
      <c r="A48" s="19"/>
      <c r="B48" s="18"/>
      <c r="C48" s="18"/>
      <c r="D48" s="18"/>
      <c r="E48" s="15"/>
      <c r="F48" s="15"/>
      <c r="G48" s="8" t="str">
        <f aca="false">IF(AND(E48="",F48=""),"",SUM($E$5:E48)-SUM($F$5:F48))</f>
        <v/>
      </c>
    </row>
    <row r="49" customFormat="false" ht="15" hidden="false" customHeight="false" outlineLevel="0" collapsed="false">
      <c r="A49" s="19"/>
      <c r="B49" s="18"/>
      <c r="C49" s="18"/>
      <c r="D49" s="18"/>
      <c r="E49" s="15"/>
      <c r="F49" s="15"/>
      <c r="G49" s="8" t="str">
        <f aca="false">IF(AND(E49="",F49=""),"",SUM($E$5:E49)-SUM($F$5:F49))</f>
        <v/>
      </c>
    </row>
    <row r="50" customFormat="false" ht="15" hidden="false" customHeight="false" outlineLevel="0" collapsed="false">
      <c r="A50" s="19"/>
      <c r="B50" s="18"/>
      <c r="C50" s="18"/>
      <c r="D50" s="18"/>
      <c r="E50" s="15"/>
      <c r="F50" s="15"/>
      <c r="G50" s="8" t="str">
        <f aca="false">IF(AND(E50="",F50=""),"",SUM($E$5:E50)-SUM($F$5:F50))</f>
        <v/>
      </c>
    </row>
    <row r="51" customFormat="false" ht="15" hidden="false" customHeight="false" outlineLevel="0" collapsed="false">
      <c r="A51" s="19"/>
      <c r="B51" s="18"/>
      <c r="C51" s="18"/>
      <c r="D51" s="18"/>
      <c r="E51" s="15"/>
      <c r="F51" s="15"/>
      <c r="G51" s="8" t="str">
        <f aca="false">IF(AND(E51="",F51=""),"",SUM($E$5:E51)-SUM($F$5:F51))</f>
        <v/>
      </c>
    </row>
    <row r="52" customFormat="false" ht="15" hidden="false" customHeight="false" outlineLevel="0" collapsed="false">
      <c r="A52" s="19"/>
      <c r="B52" s="18"/>
      <c r="C52" s="18"/>
      <c r="D52" s="18"/>
      <c r="E52" s="15"/>
      <c r="F52" s="15"/>
      <c r="G52" s="8" t="str">
        <f aca="false">IF(AND(E52="",F52=""),"",SUM($E$5:E52)-SUM($F$5:F52))</f>
        <v/>
      </c>
    </row>
    <row r="53" customFormat="false" ht="15" hidden="false" customHeight="false" outlineLevel="0" collapsed="false">
      <c r="A53" s="19"/>
      <c r="B53" s="18"/>
      <c r="C53" s="18"/>
      <c r="D53" s="18"/>
      <c r="E53" s="15"/>
      <c r="F53" s="15"/>
      <c r="G53" s="8" t="str">
        <f aca="false">IF(AND(E53="",F53=""),"",SUM($E$5:E53)-SUM($F$5:F53))</f>
        <v/>
      </c>
    </row>
    <row r="54" customFormat="false" ht="15" hidden="false" customHeight="false" outlineLevel="0" collapsed="false">
      <c r="A54" s="19"/>
      <c r="B54" s="18"/>
      <c r="C54" s="18"/>
      <c r="D54" s="18"/>
      <c r="E54" s="15"/>
      <c r="F54" s="15"/>
      <c r="G54" s="8" t="str">
        <f aca="false">IF(AND(E54="",F54=""),"",SUM($E$5:E54)-SUM($F$5:F54))</f>
        <v/>
      </c>
    </row>
    <row r="55" customFormat="false" ht="15" hidden="false" customHeight="false" outlineLevel="0" collapsed="false">
      <c r="A55" s="19"/>
      <c r="B55" s="18"/>
      <c r="C55" s="18"/>
      <c r="D55" s="18"/>
      <c r="E55" s="15"/>
      <c r="F55" s="15"/>
      <c r="G55" s="8" t="str">
        <f aca="false">IF(AND(E55="",F55=""),"",SUM($E$5:E55)-SUM($F$5:F55))</f>
        <v/>
      </c>
    </row>
    <row r="56" customFormat="false" ht="15" hidden="false" customHeight="false" outlineLevel="0" collapsed="false">
      <c r="A56" s="19"/>
      <c r="B56" s="18"/>
      <c r="C56" s="18"/>
      <c r="D56" s="18"/>
      <c r="E56" s="15"/>
      <c r="F56" s="15"/>
      <c r="G56" s="8" t="str">
        <f aca="false">IF(AND(E56="",F56=""),"",SUM($E$5:E56)-SUM($F$5:F56))</f>
        <v/>
      </c>
    </row>
    <row r="57" customFormat="false" ht="15" hidden="false" customHeight="false" outlineLevel="0" collapsed="false">
      <c r="A57" s="19"/>
      <c r="B57" s="18"/>
      <c r="C57" s="18"/>
      <c r="D57" s="18"/>
      <c r="E57" s="15"/>
      <c r="F57" s="15"/>
      <c r="G57" s="8" t="str">
        <f aca="false">IF(AND(E57="",F57=""),"",SUM($E$5:E57)-SUM($F$5:F57))</f>
        <v/>
      </c>
    </row>
    <row r="58" customFormat="false" ht="15" hidden="false" customHeight="false" outlineLevel="0" collapsed="false">
      <c r="A58" s="19"/>
      <c r="B58" s="18"/>
      <c r="C58" s="18"/>
      <c r="D58" s="18"/>
      <c r="E58" s="15"/>
      <c r="F58" s="15"/>
      <c r="G58" s="8" t="str">
        <f aca="false">IF(AND(E58="",F58=""),"",SUM($E$5:E58)-SUM($F$5:F58))</f>
        <v/>
      </c>
    </row>
    <row r="59" customFormat="false" ht="15" hidden="false" customHeight="false" outlineLevel="0" collapsed="false">
      <c r="A59" s="19"/>
      <c r="B59" s="18"/>
      <c r="C59" s="18"/>
      <c r="D59" s="18"/>
      <c r="E59" s="15"/>
      <c r="F59" s="15"/>
      <c r="G59" s="8" t="str">
        <f aca="false">IF(AND(E59="",F59=""),"",SUM($E$5:E59)-SUM($F$5:F59))</f>
        <v/>
      </c>
    </row>
    <row r="60" customFormat="false" ht="15" hidden="false" customHeight="false" outlineLevel="0" collapsed="false">
      <c r="A60" s="19"/>
      <c r="B60" s="18"/>
      <c r="C60" s="18"/>
      <c r="D60" s="18"/>
      <c r="E60" s="15"/>
      <c r="F60" s="15"/>
      <c r="G60" s="8" t="str">
        <f aca="false">IF(AND(E60="",F60=""),"",SUM($E$5:E60)-SUM($F$5:F60))</f>
        <v/>
      </c>
    </row>
    <row r="61" customFormat="false" ht="15" hidden="false" customHeight="false" outlineLevel="0" collapsed="false">
      <c r="A61" s="19"/>
      <c r="B61" s="18"/>
      <c r="C61" s="18"/>
      <c r="D61" s="18"/>
      <c r="E61" s="15"/>
      <c r="F61" s="15"/>
      <c r="G61" s="8" t="str">
        <f aca="false">IF(AND(E61="",F61=""),"",SUM($E$5:E61)-SUM($F$5:F61))</f>
        <v/>
      </c>
    </row>
    <row r="62" customFormat="false" ht="15" hidden="false" customHeight="false" outlineLevel="0" collapsed="false">
      <c r="A62" s="19"/>
      <c r="B62" s="18"/>
      <c r="C62" s="18"/>
      <c r="D62" s="18"/>
      <c r="E62" s="15"/>
      <c r="F62" s="15"/>
      <c r="G62" s="8" t="str">
        <f aca="false">IF(AND(E62="",F62=""),"",SUM($E$5:E62)-SUM($F$5:F62))</f>
        <v/>
      </c>
    </row>
    <row r="63" customFormat="false" ht="15" hidden="false" customHeight="false" outlineLevel="0" collapsed="false">
      <c r="A63" s="19"/>
      <c r="B63" s="18"/>
      <c r="C63" s="18"/>
      <c r="D63" s="18"/>
      <c r="E63" s="15"/>
      <c r="F63" s="15"/>
      <c r="G63" s="8" t="str">
        <f aca="false">IF(AND(E63="",F63=""),"",SUM($E$5:E63)-SUM($F$5:F63))</f>
        <v/>
      </c>
    </row>
    <row r="64" customFormat="false" ht="15" hidden="false" customHeight="false" outlineLevel="0" collapsed="false">
      <c r="A64" s="19"/>
      <c r="B64" s="18"/>
      <c r="C64" s="18"/>
      <c r="D64" s="18"/>
      <c r="E64" s="15"/>
      <c r="F64" s="15"/>
      <c r="G64" s="8" t="str">
        <f aca="false">IF(AND(E64="",F64=""),"",SUM($E$5:E64)-SUM($F$5:F64))</f>
        <v/>
      </c>
    </row>
    <row r="65" customFormat="false" ht="15" hidden="false" customHeight="false" outlineLevel="0" collapsed="false">
      <c r="A65" s="19"/>
      <c r="B65" s="18"/>
      <c r="C65" s="18"/>
      <c r="D65" s="18"/>
      <c r="E65" s="15"/>
      <c r="F65" s="15"/>
      <c r="G65" s="8" t="str">
        <f aca="false">IF(AND(E65="",F65=""),"",SUM($E$5:E65)-SUM($F$5:F65))</f>
        <v/>
      </c>
    </row>
    <row r="66" customFormat="false" ht="15" hidden="false" customHeight="false" outlineLevel="0" collapsed="false">
      <c r="A66" s="19"/>
      <c r="B66" s="18"/>
      <c r="C66" s="18"/>
      <c r="D66" s="18"/>
      <c r="E66" s="15"/>
      <c r="F66" s="15"/>
      <c r="G66" s="8" t="str">
        <f aca="false">IF(AND(E66="",F66=""),"",SUM($E$5:E66)-SUM($F$5:F66))</f>
        <v/>
      </c>
    </row>
    <row r="67" customFormat="false" ht="15" hidden="false" customHeight="false" outlineLevel="0" collapsed="false">
      <c r="A67" s="19"/>
      <c r="B67" s="18"/>
      <c r="C67" s="18"/>
      <c r="D67" s="18"/>
      <c r="E67" s="15"/>
      <c r="F67" s="15"/>
      <c r="G67" s="8" t="str">
        <f aca="false">IF(AND(E67="",F67=""),"",SUM($E$5:E67)-SUM($F$5:F67))</f>
        <v/>
      </c>
    </row>
    <row r="68" customFormat="false" ht="15" hidden="false" customHeight="false" outlineLevel="0" collapsed="false">
      <c r="A68" s="19"/>
      <c r="B68" s="18"/>
      <c r="C68" s="18"/>
      <c r="D68" s="18"/>
      <c r="E68" s="15"/>
      <c r="F68" s="15"/>
      <c r="G68" s="8" t="str">
        <f aca="false">IF(AND(E68="",F68=""),"",SUM($E$5:E68)-SUM($F$5:F68))</f>
        <v/>
      </c>
    </row>
    <row r="69" customFormat="false" ht="15" hidden="false" customHeight="false" outlineLevel="0" collapsed="false">
      <c r="A69" s="19"/>
      <c r="B69" s="18"/>
      <c r="C69" s="18"/>
      <c r="D69" s="18"/>
      <c r="E69" s="15"/>
      <c r="F69" s="15"/>
      <c r="G69" s="8" t="str">
        <f aca="false">IF(AND(E69="",F69=""),"",SUM($E$5:E69)-SUM($F$5:F69))</f>
        <v/>
      </c>
    </row>
    <row r="70" customFormat="false" ht="15" hidden="false" customHeight="false" outlineLevel="0" collapsed="false">
      <c r="A70" s="19"/>
      <c r="B70" s="18"/>
      <c r="C70" s="18"/>
      <c r="D70" s="18"/>
      <c r="E70" s="15"/>
      <c r="F70" s="15"/>
      <c r="G70" s="8" t="str">
        <f aca="false">IF(AND(E70="",F70=""),"",SUM($E$5:E70)-SUM($F$5:F70))</f>
        <v/>
      </c>
    </row>
    <row r="71" customFormat="false" ht="15" hidden="false" customHeight="false" outlineLevel="0" collapsed="false">
      <c r="A71" s="19"/>
      <c r="B71" s="18"/>
      <c r="C71" s="18"/>
      <c r="D71" s="18"/>
      <c r="E71" s="15"/>
      <c r="F71" s="15"/>
      <c r="G71" s="8" t="str">
        <f aca="false">IF(AND(E71="",F71=""),"",SUM($E$5:E71)-SUM($F$5:F71))</f>
        <v/>
      </c>
    </row>
    <row r="72" customFormat="false" ht="15" hidden="false" customHeight="false" outlineLevel="0" collapsed="false">
      <c r="A72" s="19"/>
      <c r="B72" s="18"/>
      <c r="C72" s="18"/>
      <c r="D72" s="18"/>
      <c r="E72" s="15"/>
      <c r="F72" s="15"/>
      <c r="G72" s="8" t="str">
        <f aca="false">IF(AND(E72="",F72=""),"",SUM($E$5:E72)-SUM($F$5:F72))</f>
        <v/>
      </c>
    </row>
    <row r="73" customFormat="false" ht="15" hidden="false" customHeight="false" outlineLevel="0" collapsed="false">
      <c r="A73" s="19"/>
      <c r="B73" s="18"/>
      <c r="C73" s="18"/>
      <c r="D73" s="18"/>
      <c r="E73" s="15"/>
      <c r="F73" s="15"/>
      <c r="G73" s="8" t="str">
        <f aca="false">IF(AND(E73="",F73=""),"",SUM($E$5:E73)-SUM($F$5:F73))</f>
        <v/>
      </c>
    </row>
    <row r="74" customFormat="false" ht="15" hidden="false" customHeight="false" outlineLevel="0" collapsed="false">
      <c r="A74" s="19"/>
      <c r="B74" s="18"/>
      <c r="C74" s="18"/>
      <c r="D74" s="18"/>
      <c r="E74" s="15"/>
      <c r="F74" s="15"/>
      <c r="G74" s="8" t="str">
        <f aca="false">IF(AND(E74="",F74=""),"",SUM($E$5:E74)-SUM($F$5:F74))</f>
        <v/>
      </c>
    </row>
    <row r="75" customFormat="false" ht="15" hidden="false" customHeight="false" outlineLevel="0" collapsed="false">
      <c r="A75" s="19"/>
      <c r="B75" s="18"/>
      <c r="C75" s="18"/>
      <c r="D75" s="18"/>
      <c r="E75" s="15"/>
      <c r="F75" s="15"/>
      <c r="G75" s="8" t="str">
        <f aca="false">IF(AND(E75="",F75=""),"",SUM($E$5:E75)-SUM($F$5:F75))</f>
        <v/>
      </c>
    </row>
    <row r="76" customFormat="false" ht="15" hidden="false" customHeight="false" outlineLevel="0" collapsed="false">
      <c r="A76" s="19"/>
      <c r="B76" s="18"/>
      <c r="C76" s="18"/>
      <c r="D76" s="18"/>
      <c r="E76" s="15"/>
      <c r="F76" s="15"/>
      <c r="G76" s="8" t="str">
        <f aca="false">IF(AND(E76="",F76=""),"",SUM($E$5:E76)-SUM($F$5:F76))</f>
        <v/>
      </c>
    </row>
    <row r="77" customFormat="false" ht="15" hidden="false" customHeight="false" outlineLevel="0" collapsed="false">
      <c r="A77" s="19"/>
      <c r="B77" s="18"/>
      <c r="C77" s="18"/>
      <c r="D77" s="18"/>
      <c r="E77" s="15"/>
      <c r="F77" s="15"/>
      <c r="G77" s="8" t="str">
        <f aca="false">IF(AND(E77="",F77=""),"",SUM($E$5:E77)-SUM($F$5:F77))</f>
        <v/>
      </c>
    </row>
    <row r="78" customFormat="false" ht="15" hidden="false" customHeight="false" outlineLevel="0" collapsed="false">
      <c r="A78" s="19"/>
      <c r="B78" s="18"/>
      <c r="C78" s="18"/>
      <c r="D78" s="18"/>
      <c r="E78" s="15"/>
      <c r="F78" s="15"/>
      <c r="G78" s="8" t="str">
        <f aca="false">IF(AND(E78="",F78=""),"",SUM($E$5:E78)-SUM($F$5:F78))</f>
        <v/>
      </c>
    </row>
    <row r="79" customFormat="false" ht="15" hidden="false" customHeight="false" outlineLevel="0" collapsed="false">
      <c r="A79" s="19"/>
      <c r="B79" s="18"/>
      <c r="C79" s="18"/>
      <c r="D79" s="18"/>
      <c r="E79" s="15"/>
      <c r="F79" s="15"/>
      <c r="G79" s="8" t="str">
        <f aca="false">IF(AND(E79="",F79=""),"",SUM($E$5:E79)-SUM($F$5:F79))</f>
        <v/>
      </c>
    </row>
    <row r="80" customFormat="false" ht="15" hidden="false" customHeight="false" outlineLevel="0" collapsed="false">
      <c r="A80" s="19"/>
      <c r="B80" s="18"/>
      <c r="C80" s="18"/>
      <c r="D80" s="18"/>
      <c r="E80" s="15"/>
      <c r="F80" s="15"/>
      <c r="G80" s="8" t="str">
        <f aca="false">IF(AND(E80="",F80=""),"",SUM($E$5:E80)-SUM($F$5:F80))</f>
        <v/>
      </c>
    </row>
    <row r="81" customFormat="false" ht="15" hidden="false" customHeight="false" outlineLevel="0" collapsed="false">
      <c r="A81" s="19"/>
      <c r="B81" s="18"/>
      <c r="C81" s="18"/>
      <c r="D81" s="18"/>
      <c r="E81" s="15"/>
      <c r="F81" s="15"/>
      <c r="G81" s="8" t="str">
        <f aca="false">IF(AND(E81="",F81=""),"",SUM($E$5:E81)-SUM($F$5:F81))</f>
        <v/>
      </c>
    </row>
    <row r="82" customFormat="false" ht="15" hidden="false" customHeight="false" outlineLevel="0" collapsed="false">
      <c r="A82" s="19"/>
      <c r="B82" s="18"/>
      <c r="C82" s="18"/>
      <c r="D82" s="18"/>
      <c r="E82" s="15"/>
      <c r="F82" s="15"/>
      <c r="G82" s="8" t="str">
        <f aca="false">IF(AND(E82="",F82=""),"",SUM($E$5:E82)-SUM($F$5:F82))</f>
        <v/>
      </c>
    </row>
    <row r="83" customFormat="false" ht="15" hidden="false" customHeight="false" outlineLevel="0" collapsed="false">
      <c r="A83" s="19"/>
      <c r="B83" s="18"/>
      <c r="C83" s="18"/>
      <c r="D83" s="18"/>
      <c r="E83" s="15"/>
      <c r="F83" s="15"/>
      <c r="G83" s="8" t="str">
        <f aca="false">IF(AND(E83="",F83=""),"",SUM($E$5:E83)-SUM($F$5:F83))</f>
        <v/>
      </c>
    </row>
    <row r="84" customFormat="false" ht="15" hidden="false" customHeight="false" outlineLevel="0" collapsed="false">
      <c r="A84" s="19"/>
      <c r="B84" s="18"/>
      <c r="C84" s="18"/>
      <c r="D84" s="18"/>
      <c r="E84" s="15"/>
      <c r="F84" s="15"/>
      <c r="G84" s="8" t="str">
        <f aca="false">IF(AND(E84="",F84=""),"",SUM($E$5:E84)-SUM($F$5:F84))</f>
        <v/>
      </c>
    </row>
    <row r="85" customFormat="false" ht="15" hidden="false" customHeight="false" outlineLevel="0" collapsed="false">
      <c r="A85" s="19"/>
      <c r="B85" s="18"/>
      <c r="C85" s="18"/>
      <c r="D85" s="18"/>
      <c r="E85" s="15"/>
      <c r="F85" s="15"/>
      <c r="G85" s="8" t="str">
        <f aca="false">IF(AND(E85="",F85=""),"",SUM($E$5:E85)-SUM($F$5:F85))</f>
        <v/>
      </c>
    </row>
    <row r="86" customFormat="false" ht="15" hidden="false" customHeight="false" outlineLevel="0" collapsed="false">
      <c r="A86" s="19"/>
      <c r="B86" s="18"/>
      <c r="C86" s="18"/>
      <c r="D86" s="18"/>
      <c r="E86" s="15"/>
      <c r="F86" s="15"/>
      <c r="G86" s="8" t="str">
        <f aca="false">IF(AND(E86="",F86=""),"",SUM($E$5:E86)-SUM($F$5:F86))</f>
        <v/>
      </c>
    </row>
    <row r="87" customFormat="false" ht="15" hidden="false" customHeight="false" outlineLevel="0" collapsed="false">
      <c r="A87" s="19"/>
      <c r="B87" s="18"/>
      <c r="C87" s="18"/>
      <c r="D87" s="18"/>
      <c r="E87" s="15"/>
      <c r="F87" s="15"/>
      <c r="G87" s="8" t="str">
        <f aca="false">IF(AND(E87="",F87=""),"",SUM($E$5:E87)-SUM($F$5:F87))</f>
        <v/>
      </c>
    </row>
    <row r="88" customFormat="false" ht="15" hidden="false" customHeight="false" outlineLevel="0" collapsed="false">
      <c r="A88" s="19"/>
      <c r="B88" s="18"/>
      <c r="C88" s="18"/>
      <c r="D88" s="18"/>
      <c r="E88" s="15"/>
      <c r="F88" s="15"/>
      <c r="G88" s="8" t="str">
        <f aca="false">IF(AND(E88="",F88=""),"",SUM($E$5:E88)-SUM($F$5:F88))</f>
        <v/>
      </c>
    </row>
    <row r="89" customFormat="false" ht="15" hidden="false" customHeight="false" outlineLevel="0" collapsed="false">
      <c r="A89" s="19"/>
      <c r="B89" s="18"/>
      <c r="C89" s="18"/>
      <c r="D89" s="18"/>
      <c r="E89" s="15"/>
      <c r="F89" s="15"/>
      <c r="G89" s="8" t="str">
        <f aca="false">IF(AND(E89="",F89=""),"",SUM($E$5:E89)-SUM($F$5:F89))</f>
        <v/>
      </c>
    </row>
    <row r="90" customFormat="false" ht="15" hidden="false" customHeight="false" outlineLevel="0" collapsed="false">
      <c r="A90" s="19"/>
      <c r="B90" s="18"/>
      <c r="C90" s="18"/>
      <c r="D90" s="18"/>
      <c r="E90" s="15"/>
      <c r="F90" s="15"/>
      <c r="G90" s="8" t="str">
        <f aca="false">IF(AND(E90="",F90=""),"",SUM($E$5:E90)-SUM($F$5:F90))</f>
        <v/>
      </c>
    </row>
    <row r="91" customFormat="false" ht="15" hidden="false" customHeight="false" outlineLevel="0" collapsed="false">
      <c r="A91" s="19"/>
      <c r="B91" s="18"/>
      <c r="C91" s="18"/>
      <c r="D91" s="18"/>
      <c r="E91" s="15"/>
      <c r="F91" s="15"/>
      <c r="G91" s="8" t="str">
        <f aca="false">IF(AND(E91="",F91=""),"",SUM($E$5:E91)-SUM($F$5:F91))</f>
        <v/>
      </c>
    </row>
    <row r="92" customFormat="false" ht="15" hidden="false" customHeight="false" outlineLevel="0" collapsed="false">
      <c r="A92" s="19"/>
      <c r="B92" s="18"/>
      <c r="C92" s="18"/>
      <c r="D92" s="18"/>
      <c r="E92" s="15"/>
      <c r="F92" s="15"/>
      <c r="G92" s="8" t="str">
        <f aca="false">IF(AND(E92="",F92=""),"",SUM($E$5:E92)-SUM($F$5:F92))</f>
        <v/>
      </c>
    </row>
    <row r="93" customFormat="false" ht="15" hidden="false" customHeight="false" outlineLevel="0" collapsed="false">
      <c r="A93" s="19"/>
      <c r="B93" s="18"/>
      <c r="C93" s="18"/>
      <c r="D93" s="18"/>
      <c r="E93" s="15"/>
      <c r="F93" s="15"/>
      <c r="G93" s="8" t="str">
        <f aca="false">IF(AND(E93="",F93=""),"",SUM($E$5:E93)-SUM($F$5:F93))</f>
        <v/>
      </c>
    </row>
    <row r="94" customFormat="false" ht="15" hidden="false" customHeight="false" outlineLevel="0" collapsed="false">
      <c r="A94" s="19"/>
      <c r="B94" s="18"/>
      <c r="C94" s="18"/>
      <c r="D94" s="18"/>
      <c r="E94" s="15"/>
      <c r="F94" s="15"/>
      <c r="G94" s="8" t="str">
        <f aca="false">IF(AND(E94="",F94=""),"",SUM($E$5:E94)-SUM($F$5:F94))</f>
        <v/>
      </c>
    </row>
    <row r="95" customFormat="false" ht="15" hidden="false" customHeight="false" outlineLevel="0" collapsed="false">
      <c r="A95" s="19"/>
      <c r="B95" s="18"/>
      <c r="C95" s="18"/>
      <c r="D95" s="18"/>
      <c r="E95" s="15"/>
      <c r="F95" s="15"/>
      <c r="G95" s="8" t="str">
        <f aca="false">IF(AND(E95="",F95=""),"",SUM($E$5:E95)-SUM($F$5:F95))</f>
        <v/>
      </c>
    </row>
    <row r="96" customFormat="false" ht="15" hidden="false" customHeight="false" outlineLevel="0" collapsed="false">
      <c r="A96" s="19"/>
      <c r="B96" s="18"/>
      <c r="C96" s="18"/>
      <c r="D96" s="18"/>
      <c r="E96" s="15"/>
      <c r="F96" s="15"/>
      <c r="G96" s="8" t="str">
        <f aca="false">IF(AND(E96="",F96=""),"",SUM($E$5:E96)-SUM($F$5:F96))</f>
        <v/>
      </c>
    </row>
    <row r="97" customFormat="false" ht="15" hidden="false" customHeight="false" outlineLevel="0" collapsed="false">
      <c r="A97" s="19"/>
      <c r="B97" s="18"/>
      <c r="C97" s="18"/>
      <c r="D97" s="18"/>
      <c r="E97" s="15"/>
      <c r="F97" s="15"/>
      <c r="G97" s="8" t="str">
        <f aca="false">IF(AND(E97="",F97=""),"",SUM($E$5:E97)-SUM($F$5:F97))</f>
        <v/>
      </c>
    </row>
    <row r="98" customFormat="false" ht="15" hidden="false" customHeight="false" outlineLevel="0" collapsed="false">
      <c r="A98" s="19"/>
      <c r="B98" s="18"/>
      <c r="C98" s="18"/>
      <c r="D98" s="18"/>
      <c r="E98" s="15"/>
      <c r="F98" s="15"/>
      <c r="G98" s="8" t="str">
        <f aca="false">IF(AND(E98="",F98=""),"",SUM($E$5:E98)-SUM($F$5:F98))</f>
        <v/>
      </c>
    </row>
    <row r="99" customFormat="false" ht="15" hidden="false" customHeight="false" outlineLevel="0" collapsed="false">
      <c r="A99" s="19"/>
      <c r="B99" s="18"/>
      <c r="C99" s="18"/>
      <c r="D99" s="18"/>
      <c r="E99" s="15"/>
      <c r="F99" s="15"/>
      <c r="G99" s="8" t="str">
        <f aca="false">IF(AND(E99="",F99=""),"",SUM($E$5:E99)-SUM($F$5:F99))</f>
        <v/>
      </c>
    </row>
    <row r="100" customFormat="false" ht="15" hidden="false" customHeight="false" outlineLevel="0" collapsed="false">
      <c r="A100" s="19"/>
      <c r="B100" s="18"/>
      <c r="C100" s="18"/>
      <c r="D100" s="18"/>
      <c r="E100" s="15"/>
      <c r="F100" s="15"/>
      <c r="G100" s="8" t="str">
        <f aca="false">IF(AND(E100="",F100=""),"",SUM($E$5:E100)-SUM($F$5:F100))</f>
        <v/>
      </c>
    </row>
    <row r="101" customFormat="false" ht="15" hidden="false" customHeight="false" outlineLevel="0" collapsed="false">
      <c r="A101" s="19"/>
      <c r="B101" s="18"/>
      <c r="C101" s="18"/>
      <c r="D101" s="18"/>
      <c r="E101" s="15"/>
      <c r="F101" s="15"/>
      <c r="G101" s="8" t="str">
        <f aca="false">IF(AND(E101="",F101=""),"",SUM($E$5:E101)-SUM($F$5:F101))</f>
        <v/>
      </c>
    </row>
    <row r="102" customFormat="false" ht="15" hidden="false" customHeight="false" outlineLevel="0" collapsed="false">
      <c r="A102" s="19"/>
      <c r="B102" s="18"/>
      <c r="C102" s="18"/>
      <c r="D102" s="18"/>
      <c r="E102" s="15"/>
      <c r="F102" s="15"/>
      <c r="G102" s="8" t="str">
        <f aca="false">IF(AND(E102="",F102=""),"",SUM($E$5:E102)-SUM($F$5:F102))</f>
        <v/>
      </c>
    </row>
    <row r="103" customFormat="false" ht="15" hidden="false" customHeight="false" outlineLevel="0" collapsed="false">
      <c r="A103" s="19"/>
      <c r="B103" s="18"/>
      <c r="C103" s="18"/>
      <c r="D103" s="18"/>
      <c r="E103" s="15"/>
      <c r="F103" s="15"/>
      <c r="G103" s="8" t="str">
        <f aca="false">IF(AND(E103="",F103=""),"",SUM($E$5:E103)-SUM($F$5:F103))</f>
        <v/>
      </c>
    </row>
    <row r="104" customFormat="false" ht="15" hidden="false" customHeight="false" outlineLevel="0" collapsed="false">
      <c r="A104" s="19"/>
      <c r="B104" s="18"/>
      <c r="C104" s="18"/>
      <c r="D104" s="18"/>
      <c r="E104" s="15"/>
      <c r="F104" s="15"/>
      <c r="G104" s="8" t="str">
        <f aca="false">IF(AND(E104="",F104=""),"",SUM($E$5:E104)-SUM($F$5:F104))</f>
        <v/>
      </c>
    </row>
    <row r="105" customFormat="false" ht="15" hidden="false" customHeight="false" outlineLevel="0" collapsed="false">
      <c r="A105" s="19"/>
      <c r="B105" s="18"/>
      <c r="C105" s="18"/>
      <c r="D105" s="18"/>
      <c r="E105" s="15"/>
      <c r="F105" s="15"/>
      <c r="G105" s="8" t="str">
        <f aca="false">IF(AND(E105="",F105=""),"",SUM($E$5:E105)-SUM($F$5:F105))</f>
        <v/>
      </c>
    </row>
    <row r="106" customFormat="false" ht="15" hidden="false" customHeight="false" outlineLevel="0" collapsed="false">
      <c r="A106" s="19"/>
      <c r="B106" s="18"/>
      <c r="C106" s="18"/>
      <c r="D106" s="18"/>
      <c r="E106" s="15"/>
      <c r="F106" s="15"/>
      <c r="G106" s="8" t="str">
        <f aca="false">IF(AND(E106="",F106=""),"",SUM($E$5:E106)-SUM($F$5:F106))</f>
        <v/>
      </c>
    </row>
    <row r="107" customFormat="false" ht="15" hidden="false" customHeight="false" outlineLevel="0" collapsed="false">
      <c r="A107" s="19"/>
      <c r="B107" s="18"/>
      <c r="C107" s="18"/>
      <c r="D107" s="18"/>
      <c r="E107" s="15"/>
      <c r="F107" s="15"/>
      <c r="G107" s="8" t="str">
        <f aca="false">IF(AND(E107="",F107=""),"",SUM($E$5:E107)-SUM($F$5:F107))</f>
        <v/>
      </c>
    </row>
    <row r="108" customFormat="false" ht="15" hidden="false" customHeight="false" outlineLevel="0" collapsed="false">
      <c r="A108" s="19"/>
      <c r="B108" s="18"/>
      <c r="C108" s="18"/>
      <c r="D108" s="18"/>
      <c r="E108" s="15"/>
      <c r="F108" s="15"/>
      <c r="G108" s="8" t="str">
        <f aca="false">IF(AND(E108="",F108=""),"",SUM($E$5:E108)-SUM($F$5:F108))</f>
        <v/>
      </c>
    </row>
    <row r="109" customFormat="false" ht="15" hidden="false" customHeight="false" outlineLevel="0" collapsed="false">
      <c r="A109" s="19"/>
      <c r="B109" s="18"/>
      <c r="C109" s="18"/>
      <c r="D109" s="18"/>
      <c r="E109" s="15"/>
      <c r="F109" s="15"/>
      <c r="G109" s="8" t="str">
        <f aca="false">IF(AND(E109="",F109=""),"",SUM($E$5:E109)-SUM($F$5:F109))</f>
        <v/>
      </c>
    </row>
    <row r="110" customFormat="false" ht="15" hidden="false" customHeight="false" outlineLevel="0" collapsed="false">
      <c r="A110" s="19"/>
      <c r="B110" s="18"/>
      <c r="C110" s="18"/>
      <c r="D110" s="18"/>
      <c r="E110" s="15"/>
      <c r="F110" s="15"/>
      <c r="G110" s="8" t="str">
        <f aca="false">IF(AND(E110="",F110=""),"",SUM($E$5:E110)-SUM($F$5:F110))</f>
        <v/>
      </c>
    </row>
    <row r="111" customFormat="false" ht="15" hidden="false" customHeight="false" outlineLevel="0" collapsed="false">
      <c r="A111" s="19"/>
      <c r="B111" s="18"/>
      <c r="C111" s="18"/>
      <c r="D111" s="18"/>
      <c r="E111" s="15"/>
      <c r="F111" s="15"/>
      <c r="G111" s="8" t="str">
        <f aca="false">IF(AND(E111="",F111=""),"",SUM($E$5:E111)-SUM($F$5:F111))</f>
        <v/>
      </c>
    </row>
    <row r="112" customFormat="false" ht="15" hidden="false" customHeight="false" outlineLevel="0" collapsed="false">
      <c r="A112" s="19"/>
      <c r="B112" s="18"/>
      <c r="C112" s="18"/>
      <c r="D112" s="18"/>
      <c r="E112" s="15"/>
      <c r="F112" s="15"/>
      <c r="G112" s="8" t="str">
        <f aca="false">IF(AND(E112="",F112=""),"",SUM($E$5:E112)-SUM($F$5:F112))</f>
        <v/>
      </c>
    </row>
    <row r="113" customFormat="false" ht="15" hidden="false" customHeight="false" outlineLevel="0" collapsed="false">
      <c r="A113" s="19"/>
      <c r="B113" s="18"/>
      <c r="C113" s="18"/>
      <c r="D113" s="18"/>
      <c r="E113" s="15"/>
      <c r="F113" s="15"/>
      <c r="G113" s="8" t="str">
        <f aca="false">IF(AND(E113="",F113=""),"",SUM($E$5:E113)-SUM($F$5:F113))</f>
        <v/>
      </c>
    </row>
    <row r="114" customFormat="false" ht="15" hidden="false" customHeight="false" outlineLevel="0" collapsed="false">
      <c r="A114" s="19"/>
      <c r="B114" s="18"/>
      <c r="C114" s="18"/>
      <c r="D114" s="18"/>
      <c r="E114" s="15"/>
      <c r="F114" s="15"/>
      <c r="G114" s="8" t="str">
        <f aca="false">IF(AND(E114="",F114=""),"",SUM($E$5:E114)-SUM($F$5:F114))</f>
        <v/>
      </c>
    </row>
    <row r="115" customFormat="false" ht="15" hidden="false" customHeight="false" outlineLevel="0" collapsed="false">
      <c r="A115" s="19"/>
      <c r="B115" s="18"/>
      <c r="C115" s="18"/>
      <c r="D115" s="18"/>
      <c r="E115" s="15"/>
      <c r="F115" s="15"/>
      <c r="G115" s="8" t="str">
        <f aca="false">IF(AND(E115="",F115=""),"",SUM($E$5:E115)-SUM($F$5:F115))</f>
        <v/>
      </c>
    </row>
    <row r="116" customFormat="false" ht="15" hidden="false" customHeight="false" outlineLevel="0" collapsed="false">
      <c r="A116" s="19"/>
      <c r="B116" s="18"/>
      <c r="C116" s="18"/>
      <c r="D116" s="18"/>
      <c r="E116" s="15"/>
      <c r="F116" s="15"/>
      <c r="G116" s="8" t="str">
        <f aca="false">IF(AND(E116="",F116=""),"",SUM($E$5:E116)-SUM($F$5:F116))</f>
        <v/>
      </c>
    </row>
    <row r="117" customFormat="false" ht="15" hidden="false" customHeight="false" outlineLevel="0" collapsed="false">
      <c r="A117" s="19"/>
      <c r="B117" s="18"/>
      <c r="C117" s="18"/>
      <c r="D117" s="18"/>
      <c r="E117" s="15"/>
      <c r="F117" s="15"/>
      <c r="G117" s="8" t="str">
        <f aca="false">IF(AND(E117="",F117=""),"",SUM($E$5:E117)-SUM($F$5:F117))</f>
        <v/>
      </c>
    </row>
    <row r="118" customFormat="false" ht="15" hidden="false" customHeight="false" outlineLevel="0" collapsed="false">
      <c r="A118" s="19"/>
      <c r="B118" s="18"/>
      <c r="C118" s="18"/>
      <c r="D118" s="18"/>
      <c r="E118" s="15"/>
      <c r="F118" s="15"/>
      <c r="G118" s="8" t="str">
        <f aca="false">IF(AND(E118="",F118=""),"",SUM($E$5:E118)-SUM($F$5:F118))</f>
        <v/>
      </c>
    </row>
    <row r="119" customFormat="false" ht="15" hidden="false" customHeight="false" outlineLevel="0" collapsed="false">
      <c r="A119" s="19"/>
      <c r="B119" s="18"/>
      <c r="C119" s="18"/>
      <c r="D119" s="18"/>
      <c r="E119" s="15"/>
      <c r="F119" s="15"/>
      <c r="G119" s="8" t="str">
        <f aca="false">IF(AND(E119="",F119=""),"",SUM($E$5:E119)-SUM($F$5:F119))</f>
        <v/>
      </c>
    </row>
    <row r="120" customFormat="false" ht="15" hidden="false" customHeight="false" outlineLevel="0" collapsed="false">
      <c r="A120" s="19"/>
      <c r="B120" s="18"/>
      <c r="C120" s="18"/>
      <c r="D120" s="18"/>
      <c r="E120" s="15"/>
      <c r="F120" s="15"/>
      <c r="G120" s="8" t="str">
        <f aca="false">IF(AND(E120="",F120=""),"",SUM($E$5:E120)-SUM($F$5:F120))</f>
        <v/>
      </c>
    </row>
    <row r="121" customFormat="false" ht="15" hidden="false" customHeight="false" outlineLevel="0" collapsed="false">
      <c r="A121" s="19"/>
      <c r="B121" s="18"/>
      <c r="C121" s="18"/>
      <c r="D121" s="18"/>
      <c r="E121" s="15"/>
      <c r="F121" s="15"/>
      <c r="G121" s="8" t="str">
        <f aca="false">IF(AND(E121="",F121=""),"",SUM($E$5:E121)-SUM($F$5:F121))</f>
        <v/>
      </c>
    </row>
    <row r="122" customFormat="false" ht="15" hidden="false" customHeight="false" outlineLevel="0" collapsed="false">
      <c r="A122" s="19"/>
      <c r="B122" s="18"/>
      <c r="C122" s="18"/>
      <c r="D122" s="18"/>
      <c r="E122" s="15"/>
      <c r="F122" s="15"/>
      <c r="G122" s="8" t="str">
        <f aca="false">IF(AND(E122="",F122=""),"",SUM($E$5:E122)-SUM($F$5:F122))</f>
        <v/>
      </c>
    </row>
    <row r="123" customFormat="false" ht="15" hidden="false" customHeight="false" outlineLevel="0" collapsed="false">
      <c r="A123" s="19"/>
      <c r="B123" s="18"/>
      <c r="C123" s="18"/>
      <c r="D123" s="18"/>
      <c r="E123" s="15"/>
      <c r="F123" s="15"/>
      <c r="G123" s="8" t="str">
        <f aca="false">IF(AND(E123="",F123=""),"",SUM($E$5:E123)-SUM($F$5:F123))</f>
        <v/>
      </c>
    </row>
    <row r="124" customFormat="false" ht="15" hidden="false" customHeight="false" outlineLevel="0" collapsed="false">
      <c r="A124" s="19"/>
      <c r="B124" s="18"/>
      <c r="C124" s="18"/>
      <c r="D124" s="18"/>
      <c r="E124" s="15"/>
      <c r="F124" s="15"/>
      <c r="G124" s="8" t="str">
        <f aca="false">IF(AND(E124="",F124=""),"",SUM($E$5:E124)-SUM($F$5:F124))</f>
        <v/>
      </c>
    </row>
    <row r="125" customFormat="false" ht="15" hidden="false" customHeight="false" outlineLevel="0" collapsed="false">
      <c r="A125" s="19"/>
      <c r="B125" s="18"/>
      <c r="C125" s="18"/>
      <c r="D125" s="18"/>
      <c r="E125" s="15"/>
      <c r="F125" s="15"/>
      <c r="G125" s="8" t="str">
        <f aca="false">IF(AND(E125="",F125=""),"",SUM($E$5:E125)-SUM($F$5:F125))</f>
        <v/>
      </c>
    </row>
    <row r="126" customFormat="false" ht="15" hidden="false" customHeight="false" outlineLevel="0" collapsed="false">
      <c r="A126" s="19"/>
      <c r="B126" s="18"/>
      <c r="C126" s="18"/>
      <c r="D126" s="18"/>
      <c r="E126" s="15"/>
      <c r="F126" s="15"/>
      <c r="G126" s="8" t="str">
        <f aca="false">IF(AND(E126="",F126=""),"",SUM($E$5:E126)-SUM($F$5:F126))</f>
        <v/>
      </c>
    </row>
    <row r="127" customFormat="false" ht="15" hidden="false" customHeight="false" outlineLevel="0" collapsed="false">
      <c r="A127" s="19"/>
      <c r="B127" s="18"/>
      <c r="C127" s="18"/>
      <c r="D127" s="18"/>
      <c r="E127" s="15"/>
      <c r="F127" s="15"/>
      <c r="G127" s="8" t="str">
        <f aca="false">IF(AND(E127="",F127=""),"",SUM($E$5:E127)-SUM($F$5:F127))</f>
        <v/>
      </c>
    </row>
    <row r="128" customFormat="false" ht="15" hidden="false" customHeight="false" outlineLevel="0" collapsed="false">
      <c r="A128" s="19"/>
      <c r="B128" s="18"/>
      <c r="C128" s="18"/>
      <c r="D128" s="18"/>
      <c r="E128" s="15"/>
      <c r="F128" s="15"/>
      <c r="G128" s="8" t="str">
        <f aca="false">IF(AND(E128="",F128=""),"",SUM($E$5:E128)-SUM($F$5:F128))</f>
        <v/>
      </c>
    </row>
    <row r="129" customFormat="false" ht="15" hidden="false" customHeight="false" outlineLevel="0" collapsed="false">
      <c r="A129" s="19"/>
      <c r="B129" s="18"/>
      <c r="C129" s="18"/>
      <c r="D129" s="18"/>
      <c r="E129" s="15"/>
      <c r="F129" s="15"/>
      <c r="G129" s="8" t="str">
        <f aca="false">IF(AND(E129="",F129=""),"",SUM($E$5:E129)-SUM($F$5:F129))</f>
        <v/>
      </c>
    </row>
    <row r="130" customFormat="false" ht="15" hidden="false" customHeight="false" outlineLevel="0" collapsed="false">
      <c r="A130" s="19"/>
      <c r="B130" s="18"/>
      <c r="C130" s="18"/>
      <c r="D130" s="18"/>
      <c r="E130" s="15"/>
      <c r="F130" s="15"/>
      <c r="G130" s="8" t="str">
        <f aca="false">IF(AND(E130="",F130=""),"",SUM($E$5:E130)-SUM($F$5:F130))</f>
        <v/>
      </c>
    </row>
    <row r="131" customFormat="false" ht="15" hidden="false" customHeight="false" outlineLevel="0" collapsed="false">
      <c r="A131" s="19"/>
      <c r="B131" s="18"/>
      <c r="C131" s="18"/>
      <c r="D131" s="18"/>
      <c r="E131" s="15"/>
      <c r="F131" s="15"/>
      <c r="G131" s="8" t="str">
        <f aca="false">IF(AND(E131="",F131=""),"",SUM($E$5:E131)-SUM($F$5:F131))</f>
        <v/>
      </c>
    </row>
    <row r="132" customFormat="false" ht="15" hidden="false" customHeight="false" outlineLevel="0" collapsed="false">
      <c r="A132" s="19"/>
      <c r="B132" s="18"/>
      <c r="C132" s="18"/>
      <c r="D132" s="18"/>
      <c r="E132" s="15"/>
      <c r="F132" s="15"/>
      <c r="G132" s="8" t="str">
        <f aca="false">IF(AND(E132="",F132=""),"",SUM($E$5:E132)-SUM($F$5:F132))</f>
        <v/>
      </c>
    </row>
    <row r="133" customFormat="false" ht="15" hidden="false" customHeight="false" outlineLevel="0" collapsed="false">
      <c r="A133" s="19"/>
      <c r="B133" s="18"/>
      <c r="C133" s="18"/>
      <c r="D133" s="18"/>
      <c r="E133" s="15"/>
      <c r="F133" s="15"/>
      <c r="G133" s="8" t="str">
        <f aca="false">IF(AND(E133="",F133=""),"",SUM($E$5:E133)-SUM($F$5:F133))</f>
        <v/>
      </c>
    </row>
    <row r="134" customFormat="false" ht="15" hidden="false" customHeight="false" outlineLevel="0" collapsed="false">
      <c r="A134" s="19"/>
      <c r="B134" s="18"/>
      <c r="C134" s="18"/>
      <c r="D134" s="18"/>
      <c r="E134" s="15"/>
      <c r="F134" s="15"/>
      <c r="G134" s="8" t="str">
        <f aca="false">IF(AND(E134="",F134=""),"",SUM($E$5:E134)-SUM($F$5:F134))</f>
        <v/>
      </c>
    </row>
    <row r="135" customFormat="false" ht="15" hidden="false" customHeight="false" outlineLevel="0" collapsed="false">
      <c r="A135" s="19"/>
      <c r="B135" s="18"/>
      <c r="C135" s="18"/>
      <c r="D135" s="18"/>
      <c r="E135" s="15"/>
      <c r="F135" s="15"/>
      <c r="G135" s="8" t="str">
        <f aca="false">IF(AND(E135="",F135=""),"",SUM($E$5:E135)-SUM($F$5:F135))</f>
        <v/>
      </c>
    </row>
    <row r="136" customFormat="false" ht="15" hidden="false" customHeight="false" outlineLevel="0" collapsed="false">
      <c r="A136" s="19"/>
      <c r="B136" s="18"/>
      <c r="C136" s="18"/>
      <c r="D136" s="18"/>
      <c r="E136" s="15"/>
      <c r="F136" s="15"/>
      <c r="G136" s="8" t="str">
        <f aca="false">IF(AND(E136="",F136=""),"",SUM($E$5:E136)-SUM($F$5:F136))</f>
        <v/>
      </c>
    </row>
    <row r="137" customFormat="false" ht="15" hidden="false" customHeight="false" outlineLevel="0" collapsed="false">
      <c r="A137" s="19"/>
      <c r="B137" s="18"/>
      <c r="C137" s="18"/>
      <c r="D137" s="18"/>
      <c r="E137" s="15"/>
      <c r="F137" s="15"/>
      <c r="G137" s="8" t="str">
        <f aca="false">IF(AND(E137="",F137=""),"",SUM($E$5:E137)-SUM($F$5:F137))</f>
        <v/>
      </c>
    </row>
    <row r="138" customFormat="false" ht="15" hidden="false" customHeight="false" outlineLevel="0" collapsed="false">
      <c r="A138" s="19"/>
      <c r="B138" s="18"/>
      <c r="C138" s="18"/>
      <c r="D138" s="18"/>
      <c r="E138" s="15"/>
      <c r="F138" s="15"/>
      <c r="G138" s="8" t="str">
        <f aca="false">IF(AND(E138="",F138=""),"",SUM($E$5:E138)-SUM($F$5:F138))</f>
        <v/>
      </c>
    </row>
    <row r="139" customFormat="false" ht="15" hidden="false" customHeight="false" outlineLevel="0" collapsed="false">
      <c r="A139" s="19"/>
      <c r="B139" s="18"/>
      <c r="C139" s="18"/>
      <c r="D139" s="18"/>
      <c r="E139" s="15"/>
      <c r="F139" s="15"/>
      <c r="G139" s="8" t="str">
        <f aca="false">IF(AND(E139="",F139=""),"",SUM($E$5:E139)-SUM($F$5:F139))</f>
        <v/>
      </c>
    </row>
    <row r="140" customFormat="false" ht="15" hidden="false" customHeight="false" outlineLevel="0" collapsed="false">
      <c r="A140" s="19"/>
      <c r="B140" s="18"/>
      <c r="C140" s="18"/>
      <c r="D140" s="18"/>
      <c r="E140" s="15"/>
      <c r="F140" s="15"/>
      <c r="G140" s="8" t="str">
        <f aca="false">IF(AND(E140="",F140=""),"",SUM($E$5:E140)-SUM($F$5:F140))</f>
        <v/>
      </c>
    </row>
    <row r="141" customFormat="false" ht="15" hidden="false" customHeight="false" outlineLevel="0" collapsed="false">
      <c r="A141" s="19"/>
      <c r="B141" s="18"/>
      <c r="C141" s="18"/>
      <c r="D141" s="18"/>
      <c r="E141" s="15"/>
      <c r="F141" s="15"/>
      <c r="G141" s="8" t="str">
        <f aca="false">IF(AND(E141="",F141=""),"",SUM($E$5:E141)-SUM($F$5:F141))</f>
        <v/>
      </c>
    </row>
    <row r="142" customFormat="false" ht="15" hidden="false" customHeight="false" outlineLevel="0" collapsed="false">
      <c r="A142" s="19"/>
      <c r="B142" s="18"/>
      <c r="C142" s="18"/>
      <c r="D142" s="18"/>
      <c r="E142" s="15"/>
      <c r="F142" s="15"/>
      <c r="G142" s="8" t="str">
        <f aca="false">IF(AND(E142="",F142=""),"",SUM($E$5:E142)-SUM($F$5:F142))</f>
        <v/>
      </c>
    </row>
    <row r="143" customFormat="false" ht="15" hidden="false" customHeight="false" outlineLevel="0" collapsed="false">
      <c r="A143" s="19"/>
      <c r="B143" s="18"/>
      <c r="C143" s="18"/>
      <c r="D143" s="18"/>
      <c r="E143" s="15"/>
      <c r="F143" s="15"/>
      <c r="G143" s="8" t="str">
        <f aca="false">IF(AND(E143="",F143=""),"",SUM($E$5:E143)-SUM($F$5:F143))</f>
        <v/>
      </c>
    </row>
    <row r="144" customFormat="false" ht="15" hidden="false" customHeight="false" outlineLevel="0" collapsed="false">
      <c r="A144" s="19"/>
      <c r="B144" s="18"/>
      <c r="C144" s="18"/>
      <c r="D144" s="18"/>
      <c r="E144" s="15"/>
      <c r="F144" s="15"/>
      <c r="G144" s="8" t="str">
        <f aca="false">IF(AND(E144="",F144=""),"",SUM($E$5:E144)-SUM($F$5:F144))</f>
        <v/>
      </c>
    </row>
    <row r="145" customFormat="false" ht="15" hidden="false" customHeight="false" outlineLevel="0" collapsed="false">
      <c r="A145" s="19"/>
      <c r="B145" s="18"/>
      <c r="C145" s="18"/>
      <c r="D145" s="18"/>
      <c r="E145" s="15"/>
      <c r="F145" s="15"/>
      <c r="G145" s="8" t="str">
        <f aca="false">IF(AND(E145="",F145=""),"",SUM($E$5:E145)-SUM($F$5:F145))</f>
        <v/>
      </c>
    </row>
    <row r="146" customFormat="false" ht="15" hidden="false" customHeight="false" outlineLevel="0" collapsed="false">
      <c r="A146" s="19"/>
      <c r="B146" s="18"/>
      <c r="C146" s="18"/>
      <c r="D146" s="18"/>
      <c r="E146" s="15"/>
      <c r="F146" s="15"/>
      <c r="G146" s="8" t="str">
        <f aca="false">IF(AND(E146="",F146=""),"",SUM($E$5:E146)-SUM($F$5:F146))</f>
        <v/>
      </c>
    </row>
    <row r="147" customFormat="false" ht="15" hidden="false" customHeight="false" outlineLevel="0" collapsed="false">
      <c r="A147" s="19"/>
      <c r="B147" s="18"/>
      <c r="C147" s="18"/>
      <c r="D147" s="18"/>
      <c r="E147" s="15"/>
      <c r="F147" s="15"/>
      <c r="G147" s="8" t="str">
        <f aca="false">IF(AND(E147="",F147=""),"",SUM($E$5:E147)-SUM($F$5:F147))</f>
        <v/>
      </c>
    </row>
    <row r="148" customFormat="false" ht="15" hidden="false" customHeight="false" outlineLevel="0" collapsed="false">
      <c r="A148" s="19"/>
      <c r="B148" s="18"/>
      <c r="C148" s="18"/>
      <c r="D148" s="18"/>
      <c r="E148" s="15"/>
      <c r="F148" s="15"/>
      <c r="G148" s="8" t="str">
        <f aca="false">IF(AND(E148="",F148=""),"",SUM($E$5:E148)-SUM($F$5:F148))</f>
        <v/>
      </c>
    </row>
    <row r="149" customFormat="false" ht="15" hidden="false" customHeight="false" outlineLevel="0" collapsed="false">
      <c r="A149" s="19"/>
      <c r="B149" s="18"/>
      <c r="C149" s="18"/>
      <c r="D149" s="18"/>
      <c r="E149" s="15"/>
      <c r="F149" s="15"/>
      <c r="G149" s="8" t="str">
        <f aca="false">IF(AND(E149="",F149=""),"",SUM($E$5:E149)-SUM($F$5:F149))</f>
        <v/>
      </c>
    </row>
    <row r="150" customFormat="false" ht="15" hidden="false" customHeight="false" outlineLevel="0" collapsed="false">
      <c r="A150" s="19"/>
      <c r="B150" s="18"/>
      <c r="C150" s="18"/>
      <c r="D150" s="18"/>
      <c r="E150" s="15"/>
      <c r="F150" s="15"/>
      <c r="G150" s="8" t="str">
        <f aca="false">IF(AND(E150="",F150=""),"",SUM($E$5:E150)-SUM($F$5:F150))</f>
        <v/>
      </c>
    </row>
    <row r="151" customFormat="false" ht="15" hidden="false" customHeight="false" outlineLevel="0" collapsed="false">
      <c r="A151" s="19"/>
      <c r="B151" s="18"/>
      <c r="C151" s="18"/>
      <c r="D151" s="18"/>
      <c r="E151" s="15"/>
      <c r="F151" s="15"/>
      <c r="G151" s="8" t="str">
        <f aca="false">IF(AND(E151="",F151=""),"",SUM($E$5:E151)-SUM($F$5:F151))</f>
        <v/>
      </c>
    </row>
    <row r="152" customFormat="false" ht="15" hidden="false" customHeight="false" outlineLevel="0" collapsed="false">
      <c r="A152" s="19"/>
      <c r="B152" s="18"/>
      <c r="C152" s="18"/>
      <c r="D152" s="18"/>
      <c r="E152" s="15"/>
      <c r="F152" s="15"/>
      <c r="G152" s="8" t="str">
        <f aca="false">IF(AND(E152="",F152=""),"",SUM($E$5:E152)-SUM($F$5:F152))</f>
        <v/>
      </c>
    </row>
    <row r="153" customFormat="false" ht="15" hidden="false" customHeight="false" outlineLevel="0" collapsed="false">
      <c r="A153" s="19"/>
      <c r="B153" s="18"/>
      <c r="C153" s="18"/>
      <c r="D153" s="18"/>
      <c r="E153" s="15"/>
      <c r="F153" s="15"/>
      <c r="G153" s="8" t="str">
        <f aca="false">IF(AND(E153="",F153=""),"",SUM($E$5:E153)-SUM($F$5:F153))</f>
        <v/>
      </c>
    </row>
    <row r="154" customFormat="false" ht="15" hidden="false" customHeight="false" outlineLevel="0" collapsed="false">
      <c r="A154" s="19"/>
      <c r="B154" s="18"/>
      <c r="C154" s="18"/>
      <c r="D154" s="18"/>
      <c r="E154" s="15"/>
      <c r="F154" s="15"/>
      <c r="G154" s="8" t="str">
        <f aca="false">IF(AND(E154="",F154=""),"",SUM($E$5:E154)-SUM($F$5:F154))</f>
        <v/>
      </c>
    </row>
    <row r="155" customFormat="false" ht="15" hidden="false" customHeight="false" outlineLevel="0" collapsed="false">
      <c r="A155" s="19"/>
      <c r="B155" s="18"/>
      <c r="C155" s="18"/>
      <c r="D155" s="18"/>
      <c r="E155" s="15"/>
      <c r="F155" s="15"/>
      <c r="G155" s="8" t="str">
        <f aca="false">IF(AND(E155="",F155=""),"",SUM($E$5:E155)-SUM($F$5:F155))</f>
        <v/>
      </c>
    </row>
    <row r="156" customFormat="false" ht="15" hidden="false" customHeight="false" outlineLevel="0" collapsed="false">
      <c r="A156" s="19"/>
      <c r="B156" s="18"/>
      <c r="C156" s="18"/>
      <c r="D156" s="18"/>
      <c r="E156" s="15"/>
      <c r="F156" s="15"/>
      <c r="G156" s="8" t="str">
        <f aca="false">IF(AND(E156="",F156=""),"",SUM($E$5:E156)-SUM($F$5:F156))</f>
        <v/>
      </c>
    </row>
    <row r="157" customFormat="false" ht="15" hidden="false" customHeight="false" outlineLevel="0" collapsed="false">
      <c r="A157" s="19"/>
      <c r="B157" s="18"/>
      <c r="C157" s="18"/>
      <c r="D157" s="18"/>
      <c r="E157" s="15"/>
      <c r="F157" s="15"/>
      <c r="G157" s="8" t="str">
        <f aca="false">IF(AND(E157="",F157=""),"",SUM($E$5:E157)-SUM($F$5:F157))</f>
        <v/>
      </c>
    </row>
    <row r="158" customFormat="false" ht="15" hidden="false" customHeight="false" outlineLevel="0" collapsed="false">
      <c r="A158" s="19"/>
      <c r="B158" s="18"/>
      <c r="C158" s="18"/>
      <c r="D158" s="18"/>
      <c r="E158" s="15"/>
      <c r="F158" s="15"/>
      <c r="G158" s="8" t="str">
        <f aca="false">IF(AND(E158="",F158=""),"",SUM($E$5:E158)-SUM($F$5:F158))</f>
        <v/>
      </c>
    </row>
    <row r="159" customFormat="false" ht="15" hidden="false" customHeight="false" outlineLevel="0" collapsed="false">
      <c r="A159" s="19"/>
      <c r="B159" s="18"/>
      <c r="C159" s="18"/>
      <c r="D159" s="18"/>
      <c r="E159" s="15"/>
      <c r="F159" s="15"/>
      <c r="G159" s="8" t="str">
        <f aca="false">IF(AND(E159="",F159=""),"",SUM($E$5:E159)-SUM($F$5:F159))</f>
        <v/>
      </c>
    </row>
    <row r="160" customFormat="false" ht="15" hidden="false" customHeight="false" outlineLevel="0" collapsed="false">
      <c r="A160" s="19"/>
      <c r="B160" s="18"/>
      <c r="C160" s="18"/>
      <c r="D160" s="18"/>
      <c r="E160" s="15"/>
      <c r="F160" s="15"/>
      <c r="G160" s="8" t="str">
        <f aca="false">IF(AND(E160="",F160=""),"",SUM($E$5:E160)-SUM($F$5:F160))</f>
        <v/>
      </c>
    </row>
    <row r="161" customFormat="false" ht="15" hidden="false" customHeight="false" outlineLevel="0" collapsed="false">
      <c r="A161" s="19"/>
      <c r="B161" s="18"/>
      <c r="C161" s="18"/>
      <c r="D161" s="18"/>
      <c r="E161" s="15"/>
      <c r="F161" s="15"/>
      <c r="G161" s="8" t="str">
        <f aca="false">IF(AND(E161="",F161=""),"",SUM($E$5:E161)-SUM($F$5:F161))</f>
        <v/>
      </c>
    </row>
    <row r="162" customFormat="false" ht="15" hidden="false" customHeight="false" outlineLevel="0" collapsed="false">
      <c r="A162" s="19"/>
      <c r="B162" s="18"/>
      <c r="C162" s="18"/>
      <c r="D162" s="18"/>
      <c r="E162" s="15"/>
      <c r="F162" s="15"/>
      <c r="G162" s="8" t="str">
        <f aca="false">IF(AND(E162="",F162=""),"",SUM($E$5:E162)-SUM($F$5:F162))</f>
        <v/>
      </c>
    </row>
    <row r="163" customFormat="false" ht="15" hidden="false" customHeight="false" outlineLevel="0" collapsed="false">
      <c r="A163" s="19"/>
      <c r="B163" s="18"/>
      <c r="C163" s="18"/>
      <c r="D163" s="18"/>
      <c r="E163" s="15"/>
      <c r="F163" s="15"/>
      <c r="G163" s="8" t="str">
        <f aca="false">IF(AND(E163="",F163=""),"",SUM($E$5:E163)-SUM($F$5:F163))</f>
        <v/>
      </c>
    </row>
    <row r="164" customFormat="false" ht="15" hidden="false" customHeight="false" outlineLevel="0" collapsed="false">
      <c r="A164" s="19"/>
      <c r="B164" s="18"/>
      <c r="C164" s="18"/>
      <c r="D164" s="18"/>
      <c r="E164" s="15"/>
      <c r="F164" s="15"/>
      <c r="G164" s="8" t="str">
        <f aca="false">IF(AND(E164="",F164=""),"",SUM($E$5:E164)-SUM($F$5:F164))</f>
        <v/>
      </c>
    </row>
    <row r="165" customFormat="false" ht="15" hidden="false" customHeight="false" outlineLevel="0" collapsed="false">
      <c r="A165" s="19"/>
      <c r="B165" s="18"/>
      <c r="C165" s="18"/>
      <c r="D165" s="18"/>
      <c r="E165" s="15"/>
      <c r="F165" s="15"/>
      <c r="G165" s="8" t="str">
        <f aca="false">IF(AND(E165="",F165=""),"",SUM($E$5:E165)-SUM($F$5:F165))</f>
        <v/>
      </c>
    </row>
    <row r="166" customFormat="false" ht="15" hidden="false" customHeight="false" outlineLevel="0" collapsed="false">
      <c r="A166" s="19"/>
      <c r="B166" s="18"/>
      <c r="C166" s="18"/>
      <c r="D166" s="18"/>
      <c r="E166" s="15"/>
      <c r="F166" s="15"/>
      <c r="G166" s="8" t="str">
        <f aca="false">IF(AND(E166="",F166=""),"",SUM($E$5:E166)-SUM($F$5:F166))</f>
        <v/>
      </c>
    </row>
    <row r="167" customFormat="false" ht="15" hidden="false" customHeight="false" outlineLevel="0" collapsed="false">
      <c r="A167" s="19"/>
      <c r="B167" s="18"/>
      <c r="C167" s="18"/>
      <c r="D167" s="18"/>
      <c r="E167" s="15"/>
      <c r="F167" s="15"/>
      <c r="G167" s="8" t="str">
        <f aca="false">IF(AND(E167="",F167=""),"",SUM($E$5:E167)-SUM($F$5:F167))</f>
        <v/>
      </c>
    </row>
    <row r="168" customFormat="false" ht="15" hidden="false" customHeight="false" outlineLevel="0" collapsed="false">
      <c r="A168" s="19"/>
      <c r="B168" s="18"/>
      <c r="C168" s="18"/>
      <c r="D168" s="18"/>
      <c r="E168" s="15"/>
      <c r="F168" s="15"/>
      <c r="G168" s="8" t="str">
        <f aca="false">IF(AND(E168="",F168=""),"",SUM($E$5:E168)-SUM($F$5:F168))</f>
        <v/>
      </c>
    </row>
    <row r="169" customFormat="false" ht="15" hidden="false" customHeight="false" outlineLevel="0" collapsed="false">
      <c r="A169" s="19"/>
      <c r="B169" s="18"/>
      <c r="C169" s="18"/>
      <c r="D169" s="18"/>
      <c r="E169" s="15"/>
      <c r="F169" s="15"/>
      <c r="G169" s="8" t="str">
        <f aca="false">IF(AND(E169="",F169=""),"",SUM($E$5:E169)-SUM($F$5:F169))</f>
        <v/>
      </c>
    </row>
    <row r="170" customFormat="false" ht="15" hidden="false" customHeight="false" outlineLevel="0" collapsed="false">
      <c r="A170" s="19"/>
      <c r="B170" s="18"/>
      <c r="C170" s="18"/>
      <c r="D170" s="18"/>
      <c r="E170" s="15"/>
      <c r="F170" s="15"/>
      <c r="G170" s="8" t="str">
        <f aca="false">IF(AND(E170="",F170=""),"",SUM($E$5:E170)-SUM($F$5:F170))</f>
        <v/>
      </c>
    </row>
    <row r="171" customFormat="false" ht="15" hidden="false" customHeight="false" outlineLevel="0" collapsed="false">
      <c r="A171" s="19"/>
      <c r="B171" s="18"/>
      <c r="C171" s="18"/>
      <c r="D171" s="18"/>
      <c r="E171" s="15"/>
      <c r="F171" s="15"/>
      <c r="G171" s="8" t="str">
        <f aca="false">IF(AND(E171="",F171=""),"",SUM($E$5:E171)-SUM($F$5:F171))</f>
        <v/>
      </c>
    </row>
    <row r="172" customFormat="false" ht="15" hidden="false" customHeight="false" outlineLevel="0" collapsed="false">
      <c r="A172" s="19"/>
      <c r="B172" s="18"/>
      <c r="C172" s="18"/>
      <c r="D172" s="18"/>
      <c r="E172" s="15"/>
      <c r="F172" s="15"/>
      <c r="G172" s="8" t="str">
        <f aca="false">IF(AND(E172="",F172=""),"",SUM($E$5:E172)-SUM($F$5:F172))</f>
        <v/>
      </c>
    </row>
    <row r="173" customFormat="false" ht="15" hidden="false" customHeight="false" outlineLevel="0" collapsed="false">
      <c r="A173" s="19"/>
      <c r="B173" s="18"/>
      <c r="C173" s="18"/>
      <c r="D173" s="18"/>
      <c r="E173" s="15"/>
      <c r="F173" s="15"/>
      <c r="G173" s="8" t="str">
        <f aca="false">IF(AND(E173="",F173=""),"",SUM($E$5:E173)-SUM($F$5:F173))</f>
        <v/>
      </c>
    </row>
    <row r="174" customFormat="false" ht="15" hidden="false" customHeight="false" outlineLevel="0" collapsed="false">
      <c r="A174" s="19"/>
      <c r="B174" s="18"/>
      <c r="C174" s="18"/>
      <c r="D174" s="18"/>
      <c r="E174" s="15"/>
      <c r="F174" s="15"/>
      <c r="G174" s="8" t="str">
        <f aca="false">IF(AND(E174="",F174=""),"",SUM($E$5:E174)-SUM($F$5:F174))</f>
        <v/>
      </c>
    </row>
    <row r="175" customFormat="false" ht="15" hidden="false" customHeight="false" outlineLevel="0" collapsed="false">
      <c r="A175" s="19"/>
      <c r="B175" s="18"/>
      <c r="C175" s="18"/>
      <c r="D175" s="18"/>
      <c r="E175" s="15"/>
      <c r="F175" s="15"/>
      <c r="G175" s="8" t="str">
        <f aca="false">IF(AND(E175="",F175=""),"",SUM($E$5:E175)-SUM($F$5:F175))</f>
        <v/>
      </c>
    </row>
    <row r="176" customFormat="false" ht="15" hidden="false" customHeight="false" outlineLevel="0" collapsed="false">
      <c r="A176" s="19"/>
      <c r="B176" s="18"/>
      <c r="C176" s="18"/>
      <c r="D176" s="18"/>
      <c r="E176" s="15"/>
      <c r="F176" s="15"/>
      <c r="G176" s="8" t="str">
        <f aca="false">IF(AND(E176="",F176=""),"",SUM($E$5:E176)-SUM($F$5:F176))</f>
        <v/>
      </c>
    </row>
    <row r="177" customFormat="false" ht="15" hidden="false" customHeight="false" outlineLevel="0" collapsed="false">
      <c r="A177" s="19"/>
      <c r="B177" s="18"/>
      <c r="C177" s="18"/>
      <c r="D177" s="18"/>
      <c r="E177" s="15"/>
      <c r="F177" s="15"/>
      <c r="G177" s="8" t="str">
        <f aca="false">IF(AND(E177="",F177=""),"",SUM($E$5:E177)-SUM($F$5:F177))</f>
        <v/>
      </c>
    </row>
    <row r="178" customFormat="false" ht="15" hidden="false" customHeight="false" outlineLevel="0" collapsed="false">
      <c r="A178" s="19"/>
      <c r="B178" s="18"/>
      <c r="C178" s="18"/>
      <c r="D178" s="18"/>
      <c r="E178" s="15"/>
      <c r="F178" s="15"/>
      <c r="G178" s="8" t="str">
        <f aca="false">IF(AND(E178="",F178=""),"",SUM($E$5:E178)-SUM($F$5:F178))</f>
        <v/>
      </c>
    </row>
    <row r="179" customFormat="false" ht="15" hidden="false" customHeight="false" outlineLevel="0" collapsed="false">
      <c r="A179" s="19"/>
      <c r="B179" s="18"/>
      <c r="C179" s="18"/>
      <c r="D179" s="18"/>
      <c r="E179" s="15"/>
      <c r="F179" s="15"/>
      <c r="G179" s="8" t="str">
        <f aca="false">IF(AND(E179="",F179=""),"",SUM($E$5:E179)-SUM($F$5:F179))</f>
        <v/>
      </c>
    </row>
    <row r="180" customFormat="false" ht="15" hidden="false" customHeight="false" outlineLevel="0" collapsed="false">
      <c r="A180" s="19"/>
      <c r="B180" s="18"/>
      <c r="C180" s="18"/>
      <c r="D180" s="18"/>
      <c r="E180" s="15"/>
      <c r="F180" s="15"/>
      <c r="G180" s="8" t="str">
        <f aca="false">IF(AND(E180="",F180=""),"",SUM($E$5:E180)-SUM($F$5:F180))</f>
        <v/>
      </c>
    </row>
    <row r="181" customFormat="false" ht="15" hidden="false" customHeight="false" outlineLevel="0" collapsed="false">
      <c r="A181" s="19"/>
      <c r="B181" s="18"/>
      <c r="C181" s="18"/>
      <c r="D181" s="18"/>
      <c r="E181" s="15"/>
      <c r="F181" s="15"/>
      <c r="G181" s="8" t="str">
        <f aca="false">IF(AND(E181="",F181=""),"",SUM($E$5:E181)-SUM($F$5:F181))</f>
        <v/>
      </c>
    </row>
    <row r="182" customFormat="false" ht="15" hidden="false" customHeight="false" outlineLevel="0" collapsed="false">
      <c r="A182" s="19"/>
      <c r="B182" s="18"/>
      <c r="C182" s="18"/>
      <c r="D182" s="18"/>
      <c r="E182" s="15"/>
      <c r="F182" s="15"/>
      <c r="G182" s="8" t="str">
        <f aca="false">IF(AND(E182="",F182=""),"",SUM($E$5:E182)-SUM($F$5:F182))</f>
        <v/>
      </c>
    </row>
    <row r="183" customFormat="false" ht="15" hidden="false" customHeight="false" outlineLevel="0" collapsed="false">
      <c r="A183" s="19"/>
      <c r="B183" s="18"/>
      <c r="C183" s="18"/>
      <c r="D183" s="18"/>
      <c r="E183" s="15"/>
      <c r="F183" s="15"/>
      <c r="G183" s="8" t="str">
        <f aca="false">IF(AND(E183="",F183=""),"",SUM($E$5:E183)-SUM($F$5:F183))</f>
        <v/>
      </c>
    </row>
    <row r="184" customFormat="false" ht="15" hidden="false" customHeight="false" outlineLevel="0" collapsed="false">
      <c r="A184" s="19"/>
      <c r="B184" s="18"/>
      <c r="C184" s="18"/>
      <c r="D184" s="18"/>
      <c r="E184" s="15"/>
      <c r="F184" s="15"/>
      <c r="G184" s="8" t="str">
        <f aca="false">IF(AND(E184="",F184=""),"",SUM($E$5:E184)-SUM($F$5:F184))</f>
        <v/>
      </c>
    </row>
    <row r="185" customFormat="false" ht="15" hidden="false" customHeight="false" outlineLevel="0" collapsed="false">
      <c r="A185" s="19"/>
      <c r="B185" s="18"/>
      <c r="C185" s="18"/>
      <c r="D185" s="18"/>
      <c r="E185" s="15"/>
      <c r="F185" s="15"/>
      <c r="G185" s="8" t="str">
        <f aca="false">IF(AND(E185="",F185=""),"",SUM($E$5:E185)-SUM($F$5:F185))</f>
        <v/>
      </c>
    </row>
    <row r="186" customFormat="false" ht="15" hidden="false" customHeight="false" outlineLevel="0" collapsed="false">
      <c r="A186" s="19"/>
      <c r="B186" s="18"/>
      <c r="C186" s="18"/>
      <c r="D186" s="18"/>
      <c r="E186" s="15"/>
      <c r="F186" s="15"/>
      <c r="G186" s="8" t="str">
        <f aca="false">IF(AND(E186="",F186=""),"",SUM($E$5:E186)-SUM($F$5:F186))</f>
        <v/>
      </c>
    </row>
    <row r="187" customFormat="false" ht="15" hidden="false" customHeight="false" outlineLevel="0" collapsed="false">
      <c r="A187" s="19"/>
      <c r="B187" s="18"/>
      <c r="C187" s="18"/>
      <c r="D187" s="18"/>
      <c r="E187" s="15"/>
      <c r="F187" s="15"/>
      <c r="G187" s="8" t="str">
        <f aca="false">IF(AND(E187="",F187=""),"",SUM($E$5:E187)-SUM($F$5:F187))</f>
        <v/>
      </c>
    </row>
    <row r="188" customFormat="false" ht="15" hidden="false" customHeight="false" outlineLevel="0" collapsed="false">
      <c r="A188" s="19"/>
      <c r="B188" s="18"/>
      <c r="C188" s="18"/>
      <c r="D188" s="18"/>
      <c r="E188" s="15"/>
      <c r="F188" s="15"/>
      <c r="G188" s="8" t="str">
        <f aca="false">IF(AND(E188="",F188=""),"",SUM($E$5:E188)-SUM($F$5:F188))</f>
        <v/>
      </c>
    </row>
    <row r="189" customFormat="false" ht="15" hidden="false" customHeight="false" outlineLevel="0" collapsed="false">
      <c r="A189" s="19"/>
      <c r="B189" s="18"/>
      <c r="C189" s="18"/>
      <c r="D189" s="18"/>
      <c r="E189" s="15"/>
      <c r="F189" s="15"/>
      <c r="G189" s="8" t="str">
        <f aca="false">IF(AND(E189="",F189=""),"",SUM($E$5:E189)-SUM($F$5:F189))</f>
        <v/>
      </c>
    </row>
    <row r="190" customFormat="false" ht="15" hidden="false" customHeight="false" outlineLevel="0" collapsed="false">
      <c r="A190" s="19"/>
      <c r="B190" s="18"/>
      <c r="C190" s="18"/>
      <c r="D190" s="18"/>
      <c r="E190" s="15"/>
      <c r="F190" s="15"/>
      <c r="G190" s="8" t="str">
        <f aca="false">IF(AND(E190="",F190=""),"",SUM($E$5:E190)-SUM($F$5:F190))</f>
        <v/>
      </c>
    </row>
    <row r="191" customFormat="false" ht="15" hidden="false" customHeight="false" outlineLevel="0" collapsed="false">
      <c r="A191" s="19"/>
      <c r="B191" s="18"/>
      <c r="C191" s="18"/>
      <c r="D191" s="18"/>
      <c r="E191" s="15"/>
      <c r="F191" s="15"/>
      <c r="G191" s="8" t="str">
        <f aca="false">IF(AND(E191="",F191=""),"",SUM($E$5:E191)-SUM($F$5:F191))</f>
        <v/>
      </c>
    </row>
    <row r="192" customFormat="false" ht="15" hidden="false" customHeight="false" outlineLevel="0" collapsed="false">
      <c r="A192" s="19"/>
      <c r="B192" s="18"/>
      <c r="C192" s="18"/>
      <c r="D192" s="18"/>
      <c r="E192" s="15"/>
      <c r="F192" s="15"/>
      <c r="G192" s="8" t="str">
        <f aca="false">IF(AND(E192="",F192=""),"",SUM($E$5:E192)-SUM($F$5:F192))</f>
        <v/>
      </c>
    </row>
    <row r="193" customFormat="false" ht="15" hidden="false" customHeight="false" outlineLevel="0" collapsed="false">
      <c r="A193" s="19"/>
      <c r="B193" s="18"/>
      <c r="C193" s="18"/>
      <c r="D193" s="18"/>
      <c r="E193" s="15"/>
      <c r="F193" s="15"/>
      <c r="G193" s="8" t="str">
        <f aca="false">IF(AND(E193="",F193=""),"",SUM($E$5:E193)-SUM($F$5:F193))</f>
        <v/>
      </c>
    </row>
    <row r="194" customFormat="false" ht="15" hidden="false" customHeight="false" outlineLevel="0" collapsed="false">
      <c r="A194" s="19"/>
      <c r="B194" s="18"/>
      <c r="C194" s="18"/>
      <c r="D194" s="18"/>
      <c r="E194" s="15"/>
      <c r="F194" s="15"/>
      <c r="G194" s="8" t="str">
        <f aca="false">IF(AND(E194="",F194=""),"",SUM($E$5:E194)-SUM($F$5:F194))</f>
        <v/>
      </c>
    </row>
    <row r="195" customFormat="false" ht="15" hidden="false" customHeight="false" outlineLevel="0" collapsed="false">
      <c r="A195" s="19"/>
      <c r="B195" s="18"/>
      <c r="C195" s="18"/>
      <c r="D195" s="18"/>
      <c r="E195" s="15"/>
      <c r="F195" s="15"/>
      <c r="G195" s="8" t="str">
        <f aca="false">IF(AND(E195="",F195=""),"",SUM($E$5:E195)-SUM($F$5:F195))</f>
        <v/>
      </c>
    </row>
    <row r="196" customFormat="false" ht="15" hidden="false" customHeight="false" outlineLevel="0" collapsed="false">
      <c r="A196" s="19"/>
      <c r="B196" s="18"/>
      <c r="C196" s="18"/>
      <c r="D196" s="18"/>
      <c r="E196" s="15"/>
      <c r="F196" s="15"/>
      <c r="G196" s="8" t="str">
        <f aca="false">IF(AND(E196="",F196=""),"",SUM($E$5:E196)-SUM($F$5:F196))</f>
        <v/>
      </c>
    </row>
    <row r="197" customFormat="false" ht="15" hidden="false" customHeight="false" outlineLevel="0" collapsed="false">
      <c r="A197" s="19"/>
      <c r="B197" s="18"/>
      <c r="C197" s="18"/>
      <c r="D197" s="18"/>
      <c r="E197" s="15"/>
      <c r="F197" s="15"/>
      <c r="G197" s="8" t="str">
        <f aca="false">IF(AND(E197="",F197=""),"",SUM($E$5:E197)-SUM($F$5:F197))</f>
        <v/>
      </c>
    </row>
    <row r="198" customFormat="false" ht="15" hidden="false" customHeight="false" outlineLevel="0" collapsed="false">
      <c r="A198" s="19"/>
      <c r="B198" s="18"/>
      <c r="C198" s="18"/>
      <c r="D198" s="18"/>
      <c r="E198" s="15"/>
      <c r="F198" s="15"/>
      <c r="G198" s="8" t="str">
        <f aca="false">IF(AND(E198="",F198=""),"",SUM($E$5:E198)-SUM($F$5:F198))</f>
        <v/>
      </c>
    </row>
    <row r="199" customFormat="false" ht="15" hidden="false" customHeight="false" outlineLevel="0" collapsed="false">
      <c r="A199" s="19"/>
      <c r="B199" s="18"/>
      <c r="C199" s="18"/>
      <c r="D199" s="18"/>
      <c r="E199" s="15"/>
      <c r="F199" s="15"/>
      <c r="G199" s="8" t="str">
        <f aca="false">IF(AND(E199="",F199=""),"",SUM($E$5:E199)-SUM($F$5:F199))</f>
        <v/>
      </c>
    </row>
    <row r="200" customFormat="false" ht="15" hidden="false" customHeight="false" outlineLevel="0" collapsed="false">
      <c r="A200" s="19"/>
      <c r="B200" s="18"/>
      <c r="C200" s="18"/>
      <c r="D200" s="18"/>
      <c r="E200" s="15"/>
      <c r="F200" s="15"/>
      <c r="G200" s="8" t="str">
        <f aca="false">IF(AND(E200="",F200=""),"",SUM($E$5:E200)-SUM($F$5:F200))</f>
        <v/>
      </c>
    </row>
    <row r="201" customFormat="false" ht="15" hidden="false" customHeight="false" outlineLevel="0" collapsed="false">
      <c r="A201" s="19"/>
      <c r="B201" s="18"/>
      <c r="C201" s="18"/>
      <c r="D201" s="18"/>
      <c r="E201" s="15"/>
      <c r="F201" s="15"/>
      <c r="G201" s="8" t="str">
        <f aca="false">IF(AND(E201="",F201=""),"",SUM($E$5:E201)-SUM($F$5:F201))</f>
        <v/>
      </c>
    </row>
    <row r="202" customFormat="false" ht="15" hidden="false" customHeight="false" outlineLevel="0" collapsed="false">
      <c r="A202" s="19"/>
      <c r="B202" s="18"/>
      <c r="C202" s="18"/>
      <c r="D202" s="18"/>
      <c r="E202" s="15"/>
      <c r="F202" s="15"/>
      <c r="G202" s="8" t="str">
        <f aca="false">IF(AND(E202="",F202=""),"",SUM($E$5:E202)-SUM($F$5:F202))</f>
        <v/>
      </c>
    </row>
    <row r="203" customFormat="false" ht="15" hidden="false" customHeight="false" outlineLevel="0" collapsed="false">
      <c r="A203" s="19"/>
      <c r="B203" s="18"/>
      <c r="C203" s="18"/>
      <c r="D203" s="18"/>
      <c r="E203" s="15"/>
      <c r="F203" s="15"/>
      <c r="G203" s="8" t="str">
        <f aca="false">IF(AND(E203="",F203=""),"",SUM($E$5:E203)-SUM($F$5:F203))</f>
        <v/>
      </c>
    </row>
    <row r="204" customFormat="false" ht="15" hidden="false" customHeight="false" outlineLevel="0" collapsed="false">
      <c r="A204" s="19"/>
      <c r="B204" s="18"/>
      <c r="C204" s="18"/>
      <c r="D204" s="18"/>
      <c r="E204" s="15"/>
      <c r="F204" s="15"/>
      <c r="G204" s="8" t="str">
        <f aca="false">IF(AND(E204="",F204=""),"",SUM($E$5:E204)-SUM($F$5:F204))</f>
        <v/>
      </c>
    </row>
    <row r="205" customFormat="false" ht="15" hidden="false" customHeight="false" outlineLevel="0" collapsed="false">
      <c r="A205" s="19"/>
      <c r="B205" s="18"/>
      <c r="C205" s="18"/>
      <c r="D205" s="18"/>
      <c r="E205" s="15"/>
      <c r="F205" s="15"/>
      <c r="G205" s="8" t="str">
        <f aca="false">IF(AND(E205="",F205=""),"",SUM($E$5:E205)-SUM($F$5:F205))</f>
        <v/>
      </c>
    </row>
    <row r="206" customFormat="false" ht="15" hidden="false" customHeight="false" outlineLevel="0" collapsed="false">
      <c r="A206" s="19"/>
      <c r="B206" s="18"/>
      <c r="C206" s="18"/>
      <c r="D206" s="18"/>
      <c r="E206" s="15"/>
      <c r="F206" s="15"/>
      <c r="G206" s="8" t="str">
        <f aca="false">IF(AND(E206="",F206=""),"",SUM($E$5:E206)-SUM($F$5:F206))</f>
        <v/>
      </c>
    </row>
    <row r="207" customFormat="false" ht="15" hidden="false" customHeight="false" outlineLevel="0" collapsed="false">
      <c r="A207" s="19"/>
      <c r="B207" s="18"/>
      <c r="C207" s="18"/>
      <c r="D207" s="18"/>
      <c r="E207" s="15"/>
      <c r="F207" s="15"/>
      <c r="G207" s="8" t="str">
        <f aca="false">IF(AND(E207="",F207=""),"",SUM($E$5:E207)-SUM($F$5:F207))</f>
        <v/>
      </c>
    </row>
    <row r="208" customFormat="false" ht="15" hidden="false" customHeight="false" outlineLevel="0" collapsed="false">
      <c r="A208" s="19"/>
      <c r="B208" s="18"/>
      <c r="C208" s="18"/>
      <c r="D208" s="18"/>
      <c r="E208" s="15"/>
      <c r="F208" s="15"/>
      <c r="G208" s="8" t="str">
        <f aca="false">IF(AND(E208="",F208=""),"",SUM($E$5:E208)-SUM($F$5:F208))</f>
        <v/>
      </c>
    </row>
    <row r="209" customFormat="false" ht="15" hidden="false" customHeight="false" outlineLevel="0" collapsed="false">
      <c r="A209" s="19"/>
      <c r="B209" s="18"/>
      <c r="C209" s="18"/>
      <c r="D209" s="18"/>
      <c r="E209" s="15"/>
      <c r="F209" s="15"/>
      <c r="G209" s="8" t="str">
        <f aca="false">IF(AND(E209="",F209=""),"",SUM($E$5:E209)-SUM($F$5:F209))</f>
        <v/>
      </c>
    </row>
    <row r="210" customFormat="false" ht="15" hidden="false" customHeight="false" outlineLevel="0" collapsed="false">
      <c r="A210" s="19"/>
      <c r="B210" s="18"/>
      <c r="C210" s="18"/>
      <c r="D210" s="18"/>
      <c r="E210" s="15"/>
      <c r="F210" s="15"/>
      <c r="G210" s="8" t="str">
        <f aca="false">IF(AND(E210="",F210=""),"",SUM($E$5:E210)-SUM($F$5:F210))</f>
        <v/>
      </c>
    </row>
    <row r="211" customFormat="false" ht="15" hidden="false" customHeight="false" outlineLevel="0" collapsed="false">
      <c r="A211" s="19"/>
      <c r="B211" s="18"/>
      <c r="C211" s="18"/>
      <c r="D211" s="18"/>
      <c r="E211" s="15"/>
      <c r="F211" s="15"/>
      <c r="G211" s="8" t="str">
        <f aca="false">IF(AND(E211="",F211=""),"",SUM($E$5:E211)-SUM($F$5:F211))</f>
        <v/>
      </c>
    </row>
    <row r="212" customFormat="false" ht="15" hidden="false" customHeight="false" outlineLevel="0" collapsed="false">
      <c r="A212" s="19"/>
      <c r="B212" s="18"/>
      <c r="C212" s="18"/>
      <c r="D212" s="18"/>
      <c r="E212" s="15"/>
      <c r="F212" s="15"/>
      <c r="G212" s="8" t="str">
        <f aca="false">IF(AND(E212="",F212=""),"",SUM($E$5:E212)-SUM($F$5:F212))</f>
        <v/>
      </c>
    </row>
    <row r="213" customFormat="false" ht="15" hidden="false" customHeight="false" outlineLevel="0" collapsed="false">
      <c r="A213" s="19"/>
      <c r="B213" s="18"/>
      <c r="C213" s="18"/>
      <c r="D213" s="18"/>
      <c r="E213" s="15"/>
      <c r="F213" s="15"/>
      <c r="G213" s="8" t="str">
        <f aca="false">IF(AND(E213="",F213=""),"",SUM($E$5:E213)-SUM($F$5:F213))</f>
        <v/>
      </c>
    </row>
    <row r="214" customFormat="false" ht="15" hidden="false" customHeight="false" outlineLevel="0" collapsed="false">
      <c r="A214" s="19"/>
      <c r="B214" s="18"/>
      <c r="C214" s="18"/>
      <c r="D214" s="18"/>
      <c r="E214" s="15"/>
      <c r="F214" s="15"/>
      <c r="G214" s="8" t="str">
        <f aca="false">IF(AND(E214="",F214=""),"",SUM($E$5:E214)-SUM($F$5:F214))</f>
        <v/>
      </c>
    </row>
    <row r="215" customFormat="false" ht="15" hidden="false" customHeight="false" outlineLevel="0" collapsed="false">
      <c r="A215" s="19"/>
      <c r="B215" s="18"/>
      <c r="C215" s="18"/>
      <c r="D215" s="18"/>
      <c r="E215" s="15"/>
      <c r="F215" s="15"/>
      <c r="G215" s="8" t="str">
        <f aca="false">IF(AND(E215="",F215=""),"",SUM($E$5:E215)-SUM($F$5:F215))</f>
        <v/>
      </c>
    </row>
    <row r="216" customFormat="false" ht="15" hidden="false" customHeight="false" outlineLevel="0" collapsed="false">
      <c r="A216" s="19"/>
      <c r="B216" s="18"/>
      <c r="C216" s="18"/>
      <c r="D216" s="18"/>
      <c r="E216" s="15"/>
      <c r="F216" s="15"/>
      <c r="G216" s="8" t="str">
        <f aca="false">IF(AND(E216="",F216=""),"",SUM($E$5:E216)-SUM($F$5:F216))</f>
        <v/>
      </c>
    </row>
    <row r="217" customFormat="false" ht="15" hidden="false" customHeight="false" outlineLevel="0" collapsed="false">
      <c r="A217" s="19"/>
      <c r="B217" s="18"/>
      <c r="C217" s="18"/>
      <c r="D217" s="18"/>
      <c r="E217" s="15"/>
      <c r="F217" s="15"/>
      <c r="G217" s="8" t="str">
        <f aca="false">IF(AND(E217="",F217=""),"",SUM($E$5:E217)-SUM($F$5:F217))</f>
        <v/>
      </c>
    </row>
    <row r="218" customFormat="false" ht="15" hidden="false" customHeight="false" outlineLevel="0" collapsed="false">
      <c r="A218" s="19"/>
      <c r="B218" s="18"/>
      <c r="C218" s="18"/>
      <c r="D218" s="18"/>
      <c r="E218" s="15"/>
      <c r="F218" s="15"/>
      <c r="G218" s="8" t="str">
        <f aca="false">IF(AND(E218="",F218=""),"",SUM($E$5:E218)-SUM($F$5:F218))</f>
        <v/>
      </c>
    </row>
    <row r="219" customFormat="false" ht="15" hidden="false" customHeight="false" outlineLevel="0" collapsed="false">
      <c r="A219" s="19"/>
      <c r="B219" s="18"/>
      <c r="C219" s="18"/>
      <c r="D219" s="18"/>
      <c r="E219" s="15"/>
      <c r="F219" s="15"/>
      <c r="G219" s="8" t="str">
        <f aca="false">IF(AND(E219="",F219=""),"",SUM($E$5:E219)-SUM($F$5:F219))</f>
        <v/>
      </c>
    </row>
    <row r="220" customFormat="false" ht="15" hidden="false" customHeight="false" outlineLevel="0" collapsed="false">
      <c r="A220" s="19"/>
      <c r="B220" s="18"/>
      <c r="C220" s="18"/>
      <c r="D220" s="18"/>
      <c r="E220" s="15"/>
      <c r="F220" s="15"/>
      <c r="G220" s="8" t="str">
        <f aca="false">IF(AND(E220="",F220=""),"",SUM($E$5:E220)-SUM($F$5:F220))</f>
        <v/>
      </c>
    </row>
    <row r="221" customFormat="false" ht="15" hidden="false" customHeight="false" outlineLevel="0" collapsed="false">
      <c r="A221" s="19"/>
      <c r="B221" s="18"/>
      <c r="C221" s="18"/>
      <c r="D221" s="18"/>
      <c r="E221" s="15"/>
      <c r="F221" s="15"/>
      <c r="G221" s="8" t="str">
        <f aca="false">IF(AND(E221="",F221=""),"",SUM($E$5:E221)-SUM($F$5:F221))</f>
        <v/>
      </c>
    </row>
    <row r="222" customFormat="false" ht="15" hidden="false" customHeight="false" outlineLevel="0" collapsed="false">
      <c r="A222" s="19"/>
      <c r="B222" s="18"/>
      <c r="C222" s="18"/>
      <c r="D222" s="18"/>
      <c r="E222" s="15"/>
      <c r="F222" s="15"/>
      <c r="G222" s="8" t="str">
        <f aca="false">IF(AND(E222="",F222=""),"",SUM($E$5:E222)-SUM($F$5:F222))</f>
        <v/>
      </c>
    </row>
    <row r="223" customFormat="false" ht="15" hidden="false" customHeight="false" outlineLevel="0" collapsed="false">
      <c r="A223" s="19"/>
      <c r="B223" s="18"/>
      <c r="C223" s="18"/>
      <c r="D223" s="18"/>
      <c r="E223" s="15"/>
      <c r="F223" s="15"/>
      <c r="G223" s="8" t="str">
        <f aca="false">IF(AND(E223="",F223=""),"",SUM($E$5:E223)-SUM($F$5:F223))</f>
        <v/>
      </c>
    </row>
    <row r="224" customFormat="false" ht="15" hidden="false" customHeight="false" outlineLevel="0" collapsed="false">
      <c r="A224" s="19"/>
      <c r="B224" s="18"/>
      <c r="C224" s="18"/>
      <c r="D224" s="18"/>
      <c r="E224" s="15"/>
      <c r="F224" s="15"/>
      <c r="G224" s="8" t="str">
        <f aca="false">IF(AND(E224="",F224=""),"",SUM($E$5:E224)-SUM($F$5:F224))</f>
        <v/>
      </c>
    </row>
    <row r="225" customFormat="false" ht="15" hidden="false" customHeight="false" outlineLevel="0" collapsed="false">
      <c r="A225" s="19"/>
      <c r="B225" s="18"/>
      <c r="C225" s="18"/>
      <c r="D225" s="18"/>
      <c r="E225" s="15"/>
      <c r="F225" s="15"/>
      <c r="G225" s="8" t="str">
        <f aca="false">IF(AND(E225="",F225=""),"",SUM($E$5:E225)-SUM($F$5:F225))</f>
        <v/>
      </c>
    </row>
    <row r="226" customFormat="false" ht="15" hidden="false" customHeight="false" outlineLevel="0" collapsed="false">
      <c r="A226" s="19"/>
      <c r="B226" s="18"/>
      <c r="C226" s="18"/>
      <c r="D226" s="18"/>
      <c r="E226" s="15"/>
      <c r="F226" s="15"/>
      <c r="G226" s="8" t="str">
        <f aca="false">IF(AND(E226="",F226=""),"",SUM($E$5:E226)-SUM($F$5:F226))</f>
        <v/>
      </c>
    </row>
    <row r="227" customFormat="false" ht="15" hidden="false" customHeight="false" outlineLevel="0" collapsed="false">
      <c r="A227" s="19"/>
      <c r="B227" s="18"/>
      <c r="C227" s="18"/>
      <c r="D227" s="18"/>
      <c r="E227" s="15"/>
      <c r="F227" s="15"/>
      <c r="G227" s="8" t="str">
        <f aca="false">IF(AND(E227="",F227=""),"",SUM($E$5:E227)-SUM($F$5:F227))</f>
        <v/>
      </c>
    </row>
    <row r="228" customFormat="false" ht="15" hidden="false" customHeight="false" outlineLevel="0" collapsed="false">
      <c r="A228" s="19"/>
      <c r="B228" s="18"/>
      <c r="C228" s="18"/>
      <c r="D228" s="18"/>
      <c r="E228" s="15"/>
      <c r="F228" s="15"/>
      <c r="G228" s="8" t="str">
        <f aca="false">IF(AND(E228="",F228=""),"",SUM($E$5:E228)-SUM($F$5:F228))</f>
        <v/>
      </c>
    </row>
    <row r="229" customFormat="false" ht="15" hidden="false" customHeight="false" outlineLevel="0" collapsed="false">
      <c r="A229" s="19"/>
      <c r="B229" s="18"/>
      <c r="C229" s="18"/>
      <c r="D229" s="18"/>
      <c r="E229" s="15"/>
      <c r="F229" s="15"/>
      <c r="G229" s="8" t="str">
        <f aca="false">IF(AND(E229="",F229=""),"",SUM($E$5:E229)-SUM($F$5:F229))</f>
        <v/>
      </c>
    </row>
    <row r="230" customFormat="false" ht="15" hidden="false" customHeight="false" outlineLevel="0" collapsed="false">
      <c r="A230" s="19"/>
      <c r="B230" s="18"/>
      <c r="C230" s="18"/>
      <c r="D230" s="18"/>
      <c r="E230" s="15"/>
      <c r="F230" s="15"/>
      <c r="G230" s="8" t="str">
        <f aca="false">IF(AND(E230="",F230=""),"",SUM($E$5:E230)-SUM($F$5:F230))</f>
        <v/>
      </c>
    </row>
    <row r="231" customFormat="false" ht="15" hidden="false" customHeight="false" outlineLevel="0" collapsed="false">
      <c r="A231" s="19"/>
      <c r="B231" s="18"/>
      <c r="C231" s="18"/>
      <c r="D231" s="18"/>
      <c r="E231" s="15"/>
      <c r="F231" s="15"/>
      <c r="G231" s="8" t="str">
        <f aca="false">IF(AND(E231="",F231=""),"",SUM($E$5:E231)-SUM($F$5:F231))</f>
        <v/>
      </c>
    </row>
    <row r="232" customFormat="false" ht="15" hidden="false" customHeight="false" outlineLevel="0" collapsed="false">
      <c r="A232" s="19"/>
      <c r="B232" s="18"/>
      <c r="C232" s="18"/>
      <c r="D232" s="18"/>
      <c r="E232" s="15"/>
      <c r="F232" s="15"/>
      <c r="G232" s="8" t="str">
        <f aca="false">IF(AND(E232="",F232=""),"",SUM($E$5:E232)-SUM($F$5:F232))</f>
        <v/>
      </c>
    </row>
    <row r="233" customFormat="false" ht="15" hidden="false" customHeight="false" outlineLevel="0" collapsed="false">
      <c r="A233" s="19"/>
      <c r="B233" s="18"/>
      <c r="C233" s="18"/>
      <c r="D233" s="18"/>
      <c r="E233" s="15"/>
      <c r="F233" s="15"/>
      <c r="G233" s="8" t="str">
        <f aca="false">IF(AND(E233="",F233=""),"",SUM($E$5:E233)-SUM($F$5:F233))</f>
        <v/>
      </c>
    </row>
    <row r="234" customFormat="false" ht="15" hidden="false" customHeight="false" outlineLevel="0" collapsed="false">
      <c r="A234" s="19"/>
      <c r="B234" s="18"/>
      <c r="C234" s="18"/>
      <c r="D234" s="18"/>
      <c r="E234" s="15"/>
      <c r="F234" s="15"/>
      <c r="G234" s="8" t="str">
        <f aca="false">IF(AND(E234="",F234=""),"",SUM($E$5:E234)-SUM($F$5:F234))</f>
        <v/>
      </c>
    </row>
    <row r="235" customFormat="false" ht="15" hidden="false" customHeight="false" outlineLevel="0" collapsed="false">
      <c r="A235" s="19"/>
      <c r="B235" s="18"/>
      <c r="C235" s="18"/>
      <c r="D235" s="18"/>
      <c r="E235" s="15"/>
      <c r="F235" s="15"/>
      <c r="G235" s="8" t="str">
        <f aca="false">IF(AND(E235="",F235=""),"",SUM($E$5:E235)-SUM($F$5:F235))</f>
        <v/>
      </c>
    </row>
    <row r="236" customFormat="false" ht="15" hidden="false" customHeight="false" outlineLevel="0" collapsed="false">
      <c r="A236" s="19"/>
      <c r="B236" s="18"/>
      <c r="C236" s="18"/>
      <c r="D236" s="18"/>
      <c r="E236" s="15"/>
      <c r="F236" s="15"/>
      <c r="G236" s="8" t="str">
        <f aca="false">IF(AND(E236="",F236=""),"",SUM($E$5:E236)-SUM($F$5:F236))</f>
        <v/>
      </c>
    </row>
    <row r="237" customFormat="false" ht="15" hidden="false" customHeight="false" outlineLevel="0" collapsed="false">
      <c r="A237" s="19"/>
      <c r="B237" s="18"/>
      <c r="C237" s="18"/>
      <c r="D237" s="18"/>
      <c r="E237" s="15"/>
      <c r="F237" s="15"/>
      <c r="G237" s="8" t="str">
        <f aca="false">IF(AND(E237="",F237=""),"",SUM($E$5:E237)-SUM($F$5:F237))</f>
        <v/>
      </c>
    </row>
    <row r="238" customFormat="false" ht="15" hidden="false" customHeight="false" outlineLevel="0" collapsed="false">
      <c r="A238" s="19"/>
      <c r="B238" s="18"/>
      <c r="C238" s="18"/>
      <c r="D238" s="18"/>
      <c r="E238" s="15"/>
      <c r="F238" s="15"/>
      <c r="G238" s="8" t="str">
        <f aca="false">IF(AND(E238="",F238=""),"",SUM($E$5:E238)-SUM($F$5:F238))</f>
        <v/>
      </c>
    </row>
    <row r="239" customFormat="false" ht="15" hidden="false" customHeight="false" outlineLevel="0" collapsed="false">
      <c r="A239" s="19"/>
      <c r="B239" s="18"/>
      <c r="C239" s="18"/>
      <c r="D239" s="18"/>
      <c r="E239" s="15"/>
      <c r="F239" s="15"/>
      <c r="G239" s="8" t="str">
        <f aca="false">IF(AND(E239="",F239=""),"",SUM($E$5:E239)-SUM($F$5:F239))</f>
        <v/>
      </c>
    </row>
    <row r="240" customFormat="false" ht="15" hidden="false" customHeight="false" outlineLevel="0" collapsed="false">
      <c r="A240" s="19"/>
      <c r="B240" s="18"/>
      <c r="C240" s="18"/>
      <c r="D240" s="18"/>
      <c r="E240" s="15"/>
      <c r="F240" s="15"/>
      <c r="G240" s="8" t="str">
        <f aca="false">IF(AND(E240="",F240=""),"",SUM($E$5:E240)-SUM($F$5:F240))</f>
        <v/>
      </c>
    </row>
    <row r="241" customFormat="false" ht="15" hidden="false" customHeight="false" outlineLevel="0" collapsed="false">
      <c r="A241" s="19"/>
      <c r="B241" s="18"/>
      <c r="C241" s="18"/>
      <c r="D241" s="18"/>
      <c r="E241" s="15"/>
      <c r="F241" s="15"/>
      <c r="G241" s="8" t="str">
        <f aca="false">IF(AND(E241="",F241=""),"",SUM($E$5:E241)-SUM($F$5:F241))</f>
        <v/>
      </c>
    </row>
    <row r="242" customFormat="false" ht="15" hidden="false" customHeight="false" outlineLevel="0" collapsed="false">
      <c r="A242" s="19"/>
      <c r="B242" s="18"/>
      <c r="C242" s="18"/>
      <c r="D242" s="18"/>
      <c r="E242" s="15"/>
      <c r="F242" s="15"/>
      <c r="G242" s="8" t="str">
        <f aca="false">IF(AND(E242="",F242=""),"",SUM($E$5:E242)-SUM($F$5:F242))</f>
        <v/>
      </c>
    </row>
    <row r="243" customFormat="false" ht="15" hidden="false" customHeight="false" outlineLevel="0" collapsed="false">
      <c r="A243" s="19"/>
      <c r="B243" s="18"/>
      <c r="C243" s="18"/>
      <c r="D243" s="18"/>
      <c r="E243" s="15"/>
      <c r="F243" s="15"/>
      <c r="G243" s="8" t="str">
        <f aca="false">IF(AND(E243="",F243=""),"",SUM($E$5:E243)-SUM($F$5:F243))</f>
        <v/>
      </c>
    </row>
    <row r="244" customFormat="false" ht="15" hidden="false" customHeight="false" outlineLevel="0" collapsed="false">
      <c r="A244" s="19"/>
      <c r="B244" s="18"/>
      <c r="C244" s="18"/>
      <c r="D244" s="18"/>
      <c r="E244" s="15"/>
      <c r="F244" s="15"/>
      <c r="G244" s="8" t="str">
        <f aca="false">IF(AND(E244="",F244=""),"",SUM($E$5:E244)-SUM($F$5:F244))</f>
        <v/>
      </c>
    </row>
    <row r="245" customFormat="false" ht="15" hidden="false" customHeight="false" outlineLevel="0" collapsed="false">
      <c r="A245" s="19"/>
      <c r="B245" s="18"/>
      <c r="C245" s="18"/>
      <c r="D245" s="18"/>
      <c r="E245" s="15"/>
      <c r="F245" s="15"/>
      <c r="G245" s="8" t="str">
        <f aca="false">IF(AND(E245="",F245=""),"",SUM($E$5:E245)-SUM($F$5:F245))</f>
        <v/>
      </c>
    </row>
    <row r="246" customFormat="false" ht="15" hidden="false" customHeight="false" outlineLevel="0" collapsed="false">
      <c r="A246" s="19"/>
      <c r="B246" s="18"/>
      <c r="C246" s="18"/>
      <c r="D246" s="18"/>
      <c r="E246" s="15"/>
      <c r="F246" s="15"/>
      <c r="G246" s="8" t="str">
        <f aca="false">IF(AND(E246="",F246=""),"",SUM($E$5:E246)-SUM($F$5:F246))</f>
        <v/>
      </c>
    </row>
    <row r="247" customFormat="false" ht="15" hidden="false" customHeight="false" outlineLevel="0" collapsed="false">
      <c r="A247" s="19"/>
      <c r="B247" s="18"/>
      <c r="C247" s="18"/>
      <c r="D247" s="18"/>
      <c r="E247" s="15"/>
      <c r="F247" s="15"/>
      <c r="G247" s="8" t="str">
        <f aca="false">IF(AND(E247="",F247=""),"",SUM($E$5:E247)-SUM($F$5:F247))</f>
        <v/>
      </c>
    </row>
    <row r="248" customFormat="false" ht="15" hidden="false" customHeight="false" outlineLevel="0" collapsed="false">
      <c r="A248" s="19"/>
      <c r="B248" s="18"/>
      <c r="C248" s="18"/>
      <c r="D248" s="18"/>
      <c r="E248" s="15"/>
      <c r="F248" s="15"/>
      <c r="G248" s="8" t="str">
        <f aca="false">IF(AND(E248="",F248=""),"",SUM($E$5:E248)-SUM($F$5:F248))</f>
        <v/>
      </c>
    </row>
    <row r="249" customFormat="false" ht="15" hidden="false" customHeight="false" outlineLevel="0" collapsed="false">
      <c r="A249" s="19"/>
      <c r="B249" s="18"/>
      <c r="C249" s="18"/>
      <c r="D249" s="18"/>
      <c r="E249" s="15"/>
      <c r="F249" s="15"/>
      <c r="G249" s="8" t="str">
        <f aca="false">IF(AND(E249="",F249=""),"",SUM($E$5:E249)-SUM($F$5:F249))</f>
        <v/>
      </c>
    </row>
    <row r="250" customFormat="false" ht="15" hidden="false" customHeight="false" outlineLevel="0" collapsed="false">
      <c r="A250" s="19"/>
      <c r="B250" s="18"/>
      <c r="C250" s="18"/>
      <c r="D250" s="18"/>
      <c r="E250" s="15"/>
      <c r="F250" s="15"/>
      <c r="G250" s="8" t="str">
        <f aca="false">IF(AND(E250="",F250=""),"",SUM($E$5:E250)-SUM($F$5:F250))</f>
        <v/>
      </c>
    </row>
    <row r="251" customFormat="false" ht="15" hidden="false" customHeight="false" outlineLevel="0" collapsed="false">
      <c r="A251" s="19"/>
      <c r="B251" s="18"/>
      <c r="C251" s="18"/>
      <c r="D251" s="18"/>
      <c r="E251" s="15"/>
      <c r="F251" s="15"/>
      <c r="G251" s="8" t="str">
        <f aca="false">IF(AND(E251="",F251=""),"",SUM($E$5:E251)-SUM($F$5:F251))</f>
        <v/>
      </c>
    </row>
    <row r="252" customFormat="false" ht="15" hidden="false" customHeight="false" outlineLevel="0" collapsed="false">
      <c r="A252" s="19"/>
      <c r="B252" s="18"/>
      <c r="C252" s="18"/>
      <c r="D252" s="18"/>
      <c r="E252" s="15"/>
      <c r="F252" s="15"/>
      <c r="G252" s="8" t="str">
        <f aca="false">IF(AND(E252="",F252=""),"",SUM($E$5:E252)-SUM($F$5:F252))</f>
        <v/>
      </c>
    </row>
    <row r="253" customFormat="false" ht="15" hidden="false" customHeight="false" outlineLevel="0" collapsed="false">
      <c r="A253" s="19"/>
      <c r="B253" s="18"/>
      <c r="C253" s="18"/>
      <c r="D253" s="18"/>
      <c r="E253" s="15"/>
      <c r="F253" s="15"/>
      <c r="G253" s="8" t="str">
        <f aca="false">IF(AND(E253="",F253=""),"",SUM($E$5:E253)-SUM($F$5:F253))</f>
        <v/>
      </c>
    </row>
    <row r="254" customFormat="false" ht="15" hidden="false" customHeight="false" outlineLevel="0" collapsed="false">
      <c r="A254" s="19"/>
      <c r="B254" s="18"/>
      <c r="C254" s="18"/>
      <c r="D254" s="18"/>
      <c r="E254" s="15"/>
      <c r="F254" s="15"/>
      <c r="G254" s="8" t="str">
        <f aca="false">IF(AND(E254="",F254=""),"",SUM($E$5:E254)-SUM($F$5:F254))</f>
        <v/>
      </c>
    </row>
    <row r="255" customFormat="false" ht="15" hidden="false" customHeight="false" outlineLevel="0" collapsed="false">
      <c r="A255" s="19"/>
      <c r="B255" s="18"/>
      <c r="C255" s="18"/>
      <c r="D255" s="18"/>
      <c r="E255" s="15"/>
      <c r="F255" s="15"/>
      <c r="G255" s="8" t="str">
        <f aca="false">IF(AND(E255="",F255=""),"",SUM($E$5:E255)-SUM($F$5:F255))</f>
        <v/>
      </c>
    </row>
    <row r="256" customFormat="false" ht="15" hidden="false" customHeight="false" outlineLevel="0" collapsed="false">
      <c r="A256" s="19"/>
      <c r="B256" s="18"/>
      <c r="C256" s="18"/>
      <c r="D256" s="18"/>
      <c r="E256" s="15"/>
      <c r="F256" s="15"/>
      <c r="G256" s="8" t="str">
        <f aca="false">IF(AND(E256="",F256=""),"",SUM($E$5:E256)-SUM($F$5:F256))</f>
        <v/>
      </c>
    </row>
    <row r="257" customFormat="false" ht="15" hidden="false" customHeight="false" outlineLevel="0" collapsed="false">
      <c r="A257" s="19"/>
      <c r="B257" s="18"/>
      <c r="C257" s="18"/>
      <c r="D257" s="18"/>
      <c r="E257" s="15"/>
      <c r="F257" s="15"/>
      <c r="G257" s="8" t="str">
        <f aca="false">IF(AND(E257="",F257=""),"",SUM($E$5:E257)-SUM($F$5:F257))</f>
        <v/>
      </c>
    </row>
    <row r="258" customFormat="false" ht="15" hidden="false" customHeight="false" outlineLevel="0" collapsed="false">
      <c r="A258" s="19"/>
      <c r="B258" s="18"/>
      <c r="C258" s="18"/>
      <c r="D258" s="18"/>
      <c r="E258" s="15"/>
      <c r="F258" s="15"/>
      <c r="G258" s="8" t="str">
        <f aca="false">IF(AND(E258="",F258=""),"",SUM($E$5:E258)-SUM($F$5:F258))</f>
        <v/>
      </c>
    </row>
    <row r="259" customFormat="false" ht="15" hidden="false" customHeight="false" outlineLevel="0" collapsed="false">
      <c r="A259" s="19"/>
      <c r="B259" s="18"/>
      <c r="C259" s="18"/>
      <c r="D259" s="18"/>
      <c r="E259" s="15"/>
      <c r="F259" s="15"/>
      <c r="G259" s="8" t="str">
        <f aca="false">IF(AND(E259="",F259=""),"",SUM($E$5:E259)-SUM($F$5:F259))</f>
        <v/>
      </c>
    </row>
    <row r="260" customFormat="false" ht="15" hidden="false" customHeight="false" outlineLevel="0" collapsed="false">
      <c r="A260" s="19"/>
      <c r="B260" s="18"/>
      <c r="C260" s="18"/>
      <c r="D260" s="18"/>
      <c r="E260" s="15"/>
      <c r="F260" s="15"/>
      <c r="G260" s="8" t="str">
        <f aca="false">IF(AND(E260="",F260=""),"",SUM($E$5:E260)-SUM($F$5:F260))</f>
        <v/>
      </c>
    </row>
    <row r="261" customFormat="false" ht="15" hidden="false" customHeight="false" outlineLevel="0" collapsed="false">
      <c r="A261" s="19"/>
      <c r="B261" s="18"/>
      <c r="C261" s="18"/>
      <c r="D261" s="18"/>
      <c r="E261" s="15"/>
      <c r="F261" s="15"/>
      <c r="G261" s="8" t="str">
        <f aca="false">IF(AND(E261="",F261=""),"",SUM($E$5:E261)-SUM($F$5:F261))</f>
        <v/>
      </c>
    </row>
    <row r="262" customFormat="false" ht="15" hidden="false" customHeight="false" outlineLevel="0" collapsed="false">
      <c r="A262" s="19"/>
      <c r="B262" s="18"/>
      <c r="C262" s="18"/>
      <c r="D262" s="18"/>
      <c r="E262" s="15"/>
      <c r="F262" s="15"/>
      <c r="G262" s="8" t="str">
        <f aca="false">IF(AND(E262="",F262=""),"",SUM($E$5:E262)-SUM($F$5:F262))</f>
        <v/>
      </c>
    </row>
    <row r="263" customFormat="false" ht="15" hidden="false" customHeight="false" outlineLevel="0" collapsed="false">
      <c r="A263" s="19"/>
      <c r="B263" s="18"/>
      <c r="C263" s="18"/>
      <c r="D263" s="18"/>
      <c r="E263" s="15"/>
      <c r="F263" s="15"/>
      <c r="G263" s="8" t="str">
        <f aca="false">IF(AND(E263="",F263=""),"",SUM($E$5:E263)-SUM($F$5:F263))</f>
        <v/>
      </c>
    </row>
    <row r="264" customFormat="false" ht="15" hidden="false" customHeight="false" outlineLevel="0" collapsed="false">
      <c r="A264" s="19"/>
      <c r="B264" s="18"/>
      <c r="C264" s="18"/>
      <c r="D264" s="18"/>
      <c r="E264" s="15"/>
      <c r="F264" s="15"/>
      <c r="G264" s="8" t="str">
        <f aca="false">IF(AND(E264="",F264=""),"",SUM($E$5:E264)-SUM($F$5:F264))</f>
        <v/>
      </c>
    </row>
    <row r="265" customFormat="false" ht="15" hidden="false" customHeight="false" outlineLevel="0" collapsed="false">
      <c r="A265" s="19"/>
      <c r="B265" s="18"/>
      <c r="C265" s="18"/>
      <c r="D265" s="18"/>
      <c r="E265" s="15"/>
      <c r="F265" s="15"/>
      <c r="G265" s="8" t="str">
        <f aca="false">IF(AND(E265="",F265=""),"",SUM($E$5:E265)-SUM($F$5:F265))</f>
        <v/>
      </c>
    </row>
    <row r="266" customFormat="false" ht="15" hidden="false" customHeight="false" outlineLevel="0" collapsed="false">
      <c r="A266" s="19"/>
      <c r="B266" s="18"/>
      <c r="C266" s="18"/>
      <c r="D266" s="18"/>
      <c r="E266" s="15"/>
      <c r="F266" s="15"/>
      <c r="G266" s="8" t="str">
        <f aca="false">IF(AND(E266="",F266=""),"",SUM($E$5:E266)-SUM($F$5:F266))</f>
        <v/>
      </c>
    </row>
    <row r="267" customFormat="false" ht="15" hidden="false" customHeight="false" outlineLevel="0" collapsed="false">
      <c r="A267" s="19"/>
      <c r="B267" s="18"/>
      <c r="C267" s="18"/>
      <c r="D267" s="18"/>
      <c r="E267" s="15"/>
      <c r="F267" s="15"/>
      <c r="G267" s="8" t="str">
        <f aca="false">IF(AND(E267="",F267=""),"",SUM($E$5:E267)-SUM($F$5:F267))</f>
        <v/>
      </c>
    </row>
    <row r="268" customFormat="false" ht="15" hidden="false" customHeight="false" outlineLevel="0" collapsed="false">
      <c r="A268" s="19"/>
      <c r="B268" s="18"/>
      <c r="C268" s="18"/>
      <c r="D268" s="18"/>
      <c r="E268" s="15"/>
      <c r="F268" s="15"/>
      <c r="G268" s="8" t="str">
        <f aca="false">IF(AND(E268="",F268=""),"",SUM($E$5:E268)-SUM($F$5:F268))</f>
        <v/>
      </c>
    </row>
    <row r="269" customFormat="false" ht="15" hidden="false" customHeight="false" outlineLevel="0" collapsed="false">
      <c r="A269" s="19"/>
      <c r="B269" s="18"/>
      <c r="C269" s="18"/>
      <c r="D269" s="18"/>
      <c r="E269" s="15"/>
      <c r="F269" s="15"/>
      <c r="G269" s="8" t="str">
        <f aca="false">IF(AND(E269="",F269=""),"",SUM($E$5:E269)-SUM($F$5:F269))</f>
        <v/>
      </c>
    </row>
    <row r="270" customFormat="false" ht="15" hidden="false" customHeight="false" outlineLevel="0" collapsed="false">
      <c r="A270" s="19"/>
      <c r="B270" s="18"/>
      <c r="C270" s="18"/>
      <c r="D270" s="18"/>
      <c r="E270" s="15"/>
      <c r="F270" s="15"/>
      <c r="G270" s="8" t="str">
        <f aca="false">IF(AND(E270="",F270=""),"",SUM($E$5:E270)-SUM($F$5:F270))</f>
        <v/>
      </c>
    </row>
    <row r="271" customFormat="false" ht="15" hidden="false" customHeight="false" outlineLevel="0" collapsed="false">
      <c r="A271" s="19"/>
      <c r="B271" s="18"/>
      <c r="C271" s="18"/>
      <c r="D271" s="18"/>
      <c r="E271" s="15"/>
      <c r="F271" s="15"/>
      <c r="G271" s="8" t="str">
        <f aca="false">IF(AND(E271="",F271=""),"",SUM($E$5:E271)-SUM($F$5:F271))</f>
        <v/>
      </c>
    </row>
    <row r="272" customFormat="false" ht="15" hidden="false" customHeight="false" outlineLevel="0" collapsed="false">
      <c r="A272" s="19"/>
      <c r="B272" s="18"/>
      <c r="C272" s="18"/>
      <c r="D272" s="18"/>
      <c r="E272" s="15"/>
      <c r="F272" s="15"/>
      <c r="G272" s="8" t="str">
        <f aca="false">IF(AND(E272="",F272=""),"",SUM($E$5:E272)-SUM($F$5:F272))</f>
        <v/>
      </c>
    </row>
    <row r="273" customFormat="false" ht="15" hidden="false" customHeight="false" outlineLevel="0" collapsed="false">
      <c r="A273" s="19"/>
      <c r="B273" s="18"/>
      <c r="C273" s="18"/>
      <c r="D273" s="18"/>
      <c r="E273" s="15"/>
      <c r="F273" s="15"/>
      <c r="G273" s="8" t="str">
        <f aca="false">IF(AND(E273="",F273=""),"",SUM($E$5:E273)-SUM($F$5:F273))</f>
        <v/>
      </c>
    </row>
    <row r="274" customFormat="false" ht="15" hidden="false" customHeight="false" outlineLevel="0" collapsed="false">
      <c r="A274" s="19"/>
      <c r="B274" s="18"/>
      <c r="C274" s="18"/>
      <c r="D274" s="18"/>
      <c r="E274" s="15"/>
      <c r="F274" s="15"/>
      <c r="G274" s="8" t="str">
        <f aca="false">IF(AND(E274="",F274=""),"",SUM($E$5:E274)-SUM($F$5:F274))</f>
        <v/>
      </c>
    </row>
    <row r="275" customFormat="false" ht="15" hidden="false" customHeight="false" outlineLevel="0" collapsed="false">
      <c r="A275" s="19"/>
      <c r="B275" s="18"/>
      <c r="C275" s="18"/>
      <c r="D275" s="18"/>
      <c r="E275" s="15"/>
      <c r="F275" s="15"/>
      <c r="G275" s="8" t="str">
        <f aca="false">IF(AND(E275="",F275=""),"",SUM($E$5:E275)-SUM($F$5:F275))</f>
        <v/>
      </c>
    </row>
    <row r="276" customFormat="false" ht="15" hidden="false" customHeight="false" outlineLevel="0" collapsed="false">
      <c r="A276" s="19"/>
      <c r="B276" s="18"/>
      <c r="C276" s="18"/>
      <c r="D276" s="18"/>
      <c r="E276" s="15"/>
      <c r="F276" s="15"/>
      <c r="G276" s="8" t="str">
        <f aca="false">IF(AND(E276="",F276=""),"",SUM($E$5:E276)-SUM($F$5:F276))</f>
        <v/>
      </c>
    </row>
    <row r="277" customFormat="false" ht="15" hidden="false" customHeight="false" outlineLevel="0" collapsed="false">
      <c r="A277" s="19"/>
      <c r="B277" s="18"/>
      <c r="C277" s="18"/>
      <c r="D277" s="18"/>
      <c r="E277" s="15"/>
      <c r="F277" s="15"/>
      <c r="G277" s="8" t="str">
        <f aca="false">IF(AND(E277="",F277=""),"",SUM($E$5:E277)-SUM($F$5:F277))</f>
        <v/>
      </c>
    </row>
    <row r="278" customFormat="false" ht="15" hidden="false" customHeight="false" outlineLevel="0" collapsed="false">
      <c r="A278" s="19"/>
      <c r="B278" s="18"/>
      <c r="C278" s="18"/>
      <c r="D278" s="18"/>
      <c r="E278" s="15"/>
      <c r="F278" s="15"/>
      <c r="G278" s="8" t="str">
        <f aca="false">IF(AND(E278="",F278=""),"",SUM($E$5:E278)-SUM($F$5:F278))</f>
        <v/>
      </c>
    </row>
    <row r="279" customFormat="false" ht="15" hidden="false" customHeight="false" outlineLevel="0" collapsed="false">
      <c r="A279" s="19"/>
      <c r="B279" s="18"/>
      <c r="C279" s="18"/>
      <c r="D279" s="18"/>
      <c r="E279" s="15"/>
      <c r="F279" s="15"/>
      <c r="G279" s="8" t="str">
        <f aca="false">IF(AND(E279="",F279=""),"",SUM($E$5:E279)-SUM($F$5:F279))</f>
        <v/>
      </c>
    </row>
    <row r="280" customFormat="false" ht="15" hidden="false" customHeight="false" outlineLevel="0" collapsed="false">
      <c r="A280" s="19"/>
      <c r="B280" s="18"/>
      <c r="C280" s="18"/>
      <c r="D280" s="18"/>
      <c r="E280" s="15"/>
      <c r="F280" s="15"/>
      <c r="G280" s="8" t="str">
        <f aca="false">IF(AND(E280="",F280=""),"",SUM($E$5:E280)-SUM($F$5:F280))</f>
        <v/>
      </c>
    </row>
    <row r="281" customFormat="false" ht="15" hidden="false" customHeight="false" outlineLevel="0" collapsed="false">
      <c r="A281" s="19"/>
      <c r="B281" s="18"/>
      <c r="C281" s="18"/>
      <c r="D281" s="18"/>
      <c r="E281" s="15"/>
      <c r="F281" s="15"/>
      <c r="G281" s="8" t="str">
        <f aca="false">IF(AND(E281="",F281=""),"",SUM($E$5:E281)-SUM($F$5:F281))</f>
        <v/>
      </c>
    </row>
    <row r="282" customFormat="false" ht="15" hidden="false" customHeight="false" outlineLevel="0" collapsed="false">
      <c r="A282" s="19"/>
      <c r="B282" s="18"/>
      <c r="C282" s="18"/>
      <c r="D282" s="18"/>
      <c r="E282" s="15"/>
      <c r="F282" s="15"/>
      <c r="G282" s="8" t="str">
        <f aca="false">IF(AND(E282="",F282=""),"",SUM($E$5:E282)-SUM($F$5:F282))</f>
        <v/>
      </c>
    </row>
    <row r="283" customFormat="false" ht="15" hidden="false" customHeight="false" outlineLevel="0" collapsed="false">
      <c r="A283" s="19"/>
      <c r="B283" s="18"/>
      <c r="C283" s="18"/>
      <c r="D283" s="18"/>
      <c r="E283" s="15"/>
      <c r="F283" s="15"/>
      <c r="G283" s="8" t="str">
        <f aca="false">IF(AND(E283="",F283=""),"",SUM($E$5:E283)-SUM($F$5:F283))</f>
        <v/>
      </c>
    </row>
    <row r="284" customFormat="false" ht="15" hidden="false" customHeight="false" outlineLevel="0" collapsed="false">
      <c r="A284" s="19"/>
      <c r="B284" s="18"/>
      <c r="C284" s="18"/>
      <c r="D284" s="18"/>
      <c r="E284" s="15"/>
      <c r="F284" s="15"/>
      <c r="G284" s="8" t="str">
        <f aca="false">IF(AND(E284="",F284=""),"",SUM($E$5:E284)-SUM($F$5:F284))</f>
        <v/>
      </c>
    </row>
    <row r="285" customFormat="false" ht="15" hidden="false" customHeight="false" outlineLevel="0" collapsed="false">
      <c r="A285" s="19"/>
      <c r="B285" s="18"/>
      <c r="C285" s="18"/>
      <c r="D285" s="18"/>
      <c r="E285" s="15"/>
      <c r="F285" s="15"/>
      <c r="G285" s="8" t="str">
        <f aca="false">IF(AND(E285="",F285=""),"",SUM($E$5:E285)-SUM($F$5:F285))</f>
        <v/>
      </c>
    </row>
    <row r="286" customFormat="false" ht="15" hidden="false" customHeight="false" outlineLevel="0" collapsed="false">
      <c r="A286" s="19"/>
      <c r="B286" s="18"/>
      <c r="C286" s="18"/>
      <c r="D286" s="18"/>
      <c r="E286" s="15"/>
      <c r="F286" s="15"/>
      <c r="G286" s="8" t="str">
        <f aca="false">IF(AND(E286="",F286=""),"",SUM($E$5:E286)-SUM($F$5:F286))</f>
        <v/>
      </c>
    </row>
    <row r="287" customFormat="false" ht="15" hidden="false" customHeight="false" outlineLevel="0" collapsed="false">
      <c r="A287" s="19"/>
      <c r="B287" s="18"/>
      <c r="C287" s="18"/>
      <c r="D287" s="18"/>
      <c r="E287" s="15"/>
      <c r="F287" s="15"/>
      <c r="G287" s="8" t="str">
        <f aca="false">IF(AND(E287="",F287=""),"",SUM($E$5:E287)-SUM($F$5:F287))</f>
        <v/>
      </c>
    </row>
    <row r="288" customFormat="false" ht="15" hidden="false" customHeight="false" outlineLevel="0" collapsed="false">
      <c r="A288" s="19"/>
      <c r="B288" s="18"/>
      <c r="C288" s="18"/>
      <c r="D288" s="18"/>
      <c r="E288" s="15"/>
      <c r="F288" s="15"/>
      <c r="G288" s="8" t="str">
        <f aca="false">IF(AND(E288="",F288=""),"",SUM($E$5:E288)-SUM($F$5:F288))</f>
        <v/>
      </c>
    </row>
    <row r="289" customFormat="false" ht="15" hidden="false" customHeight="false" outlineLevel="0" collapsed="false">
      <c r="A289" s="19"/>
      <c r="B289" s="18"/>
      <c r="C289" s="18"/>
      <c r="D289" s="18"/>
      <c r="E289" s="15"/>
      <c r="F289" s="15"/>
      <c r="G289" s="8" t="str">
        <f aca="false">IF(AND(E289="",F289=""),"",SUM($E$5:E289)-SUM($F$5:F289))</f>
        <v/>
      </c>
    </row>
    <row r="290" customFormat="false" ht="15" hidden="false" customHeight="false" outlineLevel="0" collapsed="false">
      <c r="A290" s="19"/>
      <c r="B290" s="18"/>
      <c r="C290" s="18"/>
      <c r="D290" s="18"/>
      <c r="E290" s="15"/>
      <c r="F290" s="15"/>
      <c r="G290" s="8" t="str">
        <f aca="false">IF(AND(E290="",F290=""),"",SUM($E$5:E290)-SUM($F$5:F290))</f>
        <v/>
      </c>
    </row>
    <row r="291" customFormat="false" ht="15" hidden="false" customHeight="false" outlineLevel="0" collapsed="false">
      <c r="A291" s="19"/>
      <c r="B291" s="18"/>
      <c r="C291" s="18"/>
      <c r="D291" s="18"/>
      <c r="E291" s="15"/>
      <c r="F291" s="15"/>
      <c r="G291" s="8" t="str">
        <f aca="false">IF(AND(E291="",F291=""),"",SUM($E$5:E291)-SUM($F$5:F291))</f>
        <v/>
      </c>
    </row>
    <row r="292" customFormat="false" ht="15" hidden="false" customHeight="false" outlineLevel="0" collapsed="false">
      <c r="A292" s="19"/>
      <c r="B292" s="18"/>
      <c r="C292" s="18"/>
      <c r="D292" s="18"/>
      <c r="E292" s="15"/>
      <c r="F292" s="15"/>
      <c r="G292" s="8" t="str">
        <f aca="false">IF(AND(E292="",F292=""),"",SUM($E$5:E292)-SUM($F$5:F292))</f>
        <v/>
      </c>
    </row>
    <row r="293" customFormat="false" ht="15" hidden="false" customHeight="false" outlineLevel="0" collapsed="false">
      <c r="A293" s="19"/>
      <c r="B293" s="18"/>
      <c r="C293" s="18"/>
      <c r="D293" s="18"/>
      <c r="E293" s="15"/>
      <c r="F293" s="15"/>
      <c r="G293" s="8" t="str">
        <f aca="false">IF(AND(E293="",F293=""),"",SUM($E$5:E293)-SUM($F$5:F293))</f>
        <v/>
      </c>
    </row>
    <row r="294" customFormat="false" ht="15" hidden="false" customHeight="false" outlineLevel="0" collapsed="false">
      <c r="A294" s="19"/>
      <c r="B294" s="18"/>
      <c r="C294" s="18"/>
      <c r="D294" s="18"/>
      <c r="E294" s="15"/>
      <c r="F294" s="15"/>
      <c r="G294" s="8" t="str">
        <f aca="false">IF(AND(E294="",F294=""),"",SUM($E$5:E294)-SUM($F$5:F294))</f>
        <v/>
      </c>
    </row>
    <row r="295" customFormat="false" ht="15" hidden="false" customHeight="false" outlineLevel="0" collapsed="false">
      <c r="A295" s="19"/>
      <c r="B295" s="18"/>
      <c r="C295" s="18"/>
      <c r="D295" s="18"/>
      <c r="E295" s="15"/>
      <c r="F295" s="15"/>
      <c r="G295" s="8" t="str">
        <f aca="false">IF(AND(E295="",F295=""),"",SUM($E$5:E295)-SUM($F$5:F295))</f>
        <v/>
      </c>
    </row>
    <row r="296" customFormat="false" ht="15" hidden="false" customHeight="false" outlineLevel="0" collapsed="false">
      <c r="A296" s="19"/>
      <c r="B296" s="18"/>
      <c r="C296" s="18"/>
      <c r="D296" s="18"/>
      <c r="E296" s="15"/>
      <c r="F296" s="15"/>
      <c r="G296" s="8" t="str">
        <f aca="false">IF(AND(E296="",F296=""),"",SUM($E$5:E296)-SUM($F$5:F296))</f>
        <v/>
      </c>
    </row>
    <row r="297" customFormat="false" ht="15" hidden="false" customHeight="false" outlineLevel="0" collapsed="false">
      <c r="A297" s="19"/>
      <c r="B297" s="18"/>
      <c r="C297" s="18"/>
      <c r="D297" s="18"/>
      <c r="E297" s="15"/>
      <c r="F297" s="15"/>
      <c r="G297" s="8" t="str">
        <f aca="false">IF(AND(E297="",F297=""),"",SUM($E$5:E297)-SUM($F$5:F297))</f>
        <v/>
      </c>
    </row>
    <row r="298" customFormat="false" ht="15" hidden="false" customHeight="false" outlineLevel="0" collapsed="false">
      <c r="A298" s="19"/>
      <c r="B298" s="18"/>
      <c r="C298" s="18"/>
      <c r="D298" s="18"/>
      <c r="E298" s="15"/>
      <c r="F298" s="15"/>
      <c r="G298" s="8" t="str">
        <f aca="false">IF(AND(E298="",F298=""),"",SUM($E$5:E298)-SUM($F$5:F298))</f>
        <v/>
      </c>
    </row>
    <row r="299" customFormat="false" ht="15" hidden="false" customHeight="false" outlineLevel="0" collapsed="false">
      <c r="A299" s="19"/>
      <c r="B299" s="18"/>
      <c r="C299" s="18"/>
      <c r="D299" s="18"/>
      <c r="E299" s="15"/>
      <c r="F299" s="15"/>
      <c r="G299" s="8" t="str">
        <f aca="false">IF(AND(E299="",F299=""),"",SUM($E$5:E299)-SUM($F$5:F299))</f>
        <v/>
      </c>
    </row>
    <row r="300" customFormat="false" ht="15" hidden="false" customHeight="false" outlineLevel="0" collapsed="false">
      <c r="A300" s="19"/>
      <c r="B300" s="18"/>
      <c r="C300" s="18"/>
      <c r="D300" s="18"/>
      <c r="E300" s="15"/>
      <c r="F300" s="15"/>
      <c r="G300" s="8" t="str">
        <f aca="false">IF(AND(E300="",F300=""),"",SUM($E$5:E300)-SUM($F$5:F300))</f>
        <v/>
      </c>
    </row>
    <row r="301" customFormat="false" ht="15" hidden="false" customHeight="false" outlineLevel="0" collapsed="false">
      <c r="A301" s="19"/>
      <c r="B301" s="18"/>
      <c r="C301" s="18"/>
      <c r="D301" s="18"/>
      <c r="E301" s="15"/>
      <c r="F301" s="15"/>
      <c r="G301" s="8" t="str">
        <f aca="false">IF(AND(E301="",F301=""),"",SUM($E$5:E301)-SUM($F$5:F301))</f>
        <v/>
      </c>
    </row>
    <row r="302" customFormat="false" ht="15" hidden="false" customHeight="false" outlineLevel="0" collapsed="false">
      <c r="A302" s="19"/>
      <c r="B302" s="18"/>
      <c r="C302" s="18"/>
      <c r="D302" s="18"/>
      <c r="E302" s="15"/>
      <c r="F302" s="15"/>
      <c r="G302" s="8" t="str">
        <f aca="false">IF(AND(E302="",F302=""),"",SUM($E$5:E302)-SUM($F$5:F302))</f>
        <v/>
      </c>
    </row>
    <row r="303" customFormat="false" ht="15" hidden="false" customHeight="false" outlineLevel="0" collapsed="false">
      <c r="A303" s="19"/>
      <c r="B303" s="18"/>
      <c r="C303" s="18"/>
      <c r="D303" s="18"/>
      <c r="E303" s="15"/>
      <c r="F303" s="15"/>
      <c r="G303" s="8" t="str">
        <f aca="false">IF(AND(E303="",F303=""),"",SUM($E$5:E303)-SUM($F$5:F303))</f>
        <v/>
      </c>
    </row>
    <row r="304" customFormat="false" ht="15" hidden="false" customHeight="false" outlineLevel="0" collapsed="false">
      <c r="A304" s="19"/>
      <c r="B304" s="18"/>
      <c r="C304" s="18"/>
      <c r="D304" s="18"/>
      <c r="E304" s="15"/>
      <c r="F304" s="15"/>
      <c r="G304" s="8" t="str">
        <f aca="false">IF(AND(E304="",F304=""),"",SUM($E$5:E304)-SUM($F$5:F304))</f>
        <v/>
      </c>
    </row>
    <row r="305" customFormat="false" ht="15" hidden="false" customHeight="false" outlineLevel="0" collapsed="false">
      <c r="A305" s="19"/>
      <c r="B305" s="18"/>
      <c r="C305" s="18"/>
      <c r="D305" s="18"/>
      <c r="E305" s="15"/>
      <c r="F305" s="15"/>
      <c r="G305" s="8" t="str">
        <f aca="false">IF(AND(E305="",F305=""),"",SUM($E$5:E305)-SUM($F$5:F305))</f>
        <v/>
      </c>
    </row>
    <row r="306" customFormat="false" ht="15" hidden="false" customHeight="false" outlineLevel="0" collapsed="false">
      <c r="A306" s="19"/>
      <c r="B306" s="18"/>
      <c r="C306" s="18"/>
      <c r="D306" s="18"/>
      <c r="E306" s="15"/>
      <c r="F306" s="15"/>
      <c r="G306" s="8" t="str">
        <f aca="false">IF(AND(E306="",F306=""),"",SUM($E$5:E306)-SUM($F$5:F306))</f>
        <v/>
      </c>
    </row>
    <row r="307" customFormat="false" ht="15" hidden="false" customHeight="false" outlineLevel="0" collapsed="false">
      <c r="A307" s="19"/>
      <c r="B307" s="18"/>
      <c r="C307" s="18"/>
      <c r="D307" s="18"/>
      <c r="E307" s="15"/>
      <c r="F307" s="15"/>
      <c r="G307" s="8" t="str">
        <f aca="false">IF(AND(E307="",F307=""),"",SUM($E$5:E307)-SUM($F$5:F307))</f>
        <v/>
      </c>
    </row>
    <row r="308" customFormat="false" ht="15" hidden="false" customHeight="false" outlineLevel="0" collapsed="false">
      <c r="A308" s="19"/>
      <c r="B308" s="18"/>
      <c r="C308" s="18"/>
      <c r="D308" s="18"/>
      <c r="E308" s="15"/>
      <c r="F308" s="15"/>
      <c r="G308" s="8" t="str">
        <f aca="false">IF(AND(E308="",F308=""),"",SUM($E$5:E308)-SUM($F$5:F308))</f>
        <v/>
      </c>
    </row>
    <row r="309" customFormat="false" ht="15" hidden="false" customHeight="false" outlineLevel="0" collapsed="false">
      <c r="A309" s="19"/>
      <c r="B309" s="18"/>
      <c r="C309" s="18"/>
      <c r="D309" s="18"/>
      <c r="E309" s="15"/>
      <c r="F309" s="15"/>
      <c r="G309" s="8" t="str">
        <f aca="false">IF(AND(E309="",F309=""),"",SUM($E$5:E309)-SUM($F$5:F309))</f>
        <v/>
      </c>
    </row>
    <row r="310" customFormat="false" ht="15" hidden="false" customHeight="false" outlineLevel="0" collapsed="false">
      <c r="A310" s="19"/>
      <c r="B310" s="18"/>
      <c r="C310" s="18"/>
      <c r="D310" s="18"/>
      <c r="E310" s="15"/>
      <c r="F310" s="15"/>
      <c r="G310" s="8" t="str">
        <f aca="false">IF(AND(E310="",F310=""),"",SUM($E$5:E310)-SUM($F$5:F310))</f>
        <v/>
      </c>
    </row>
    <row r="311" customFormat="false" ht="15" hidden="false" customHeight="false" outlineLevel="0" collapsed="false">
      <c r="A311" s="19"/>
      <c r="B311" s="18"/>
      <c r="C311" s="18"/>
      <c r="D311" s="18"/>
      <c r="E311" s="15"/>
      <c r="F311" s="15"/>
      <c r="G311" s="8" t="str">
        <f aca="false">IF(AND(E311="",F311=""),"",SUM($E$5:E311)-SUM($F$5:F311))</f>
        <v/>
      </c>
    </row>
    <row r="312" customFormat="false" ht="15" hidden="false" customHeight="false" outlineLevel="0" collapsed="false">
      <c r="A312" s="19"/>
      <c r="B312" s="18"/>
      <c r="C312" s="18"/>
      <c r="D312" s="18"/>
      <c r="E312" s="15"/>
      <c r="F312" s="15"/>
      <c r="G312" s="8" t="str">
        <f aca="false">IF(AND(E312="",F312=""),"",SUM($E$5:E312)-SUM($F$5:F312))</f>
        <v/>
      </c>
    </row>
    <row r="313" customFormat="false" ht="15" hidden="false" customHeight="false" outlineLevel="0" collapsed="false">
      <c r="A313" s="19"/>
      <c r="B313" s="18"/>
      <c r="C313" s="18"/>
      <c r="D313" s="18"/>
      <c r="E313" s="15"/>
      <c r="F313" s="15"/>
      <c r="G313" s="8" t="str">
        <f aca="false">IF(AND(E313="",F313=""),"",SUM($E$5:E313)-SUM($F$5:F313))</f>
        <v/>
      </c>
    </row>
    <row r="314" customFormat="false" ht="15" hidden="false" customHeight="false" outlineLevel="0" collapsed="false">
      <c r="A314" s="19"/>
      <c r="B314" s="18"/>
      <c r="C314" s="18"/>
      <c r="D314" s="18"/>
      <c r="E314" s="15"/>
      <c r="F314" s="15"/>
      <c r="G314" s="8" t="str">
        <f aca="false">IF(AND(E314="",F314=""),"",SUM($E$5:E314)-SUM($F$5:F314))</f>
        <v/>
      </c>
    </row>
    <row r="315" customFormat="false" ht="15" hidden="false" customHeight="false" outlineLevel="0" collapsed="false">
      <c r="A315" s="19"/>
      <c r="B315" s="18"/>
      <c r="C315" s="18"/>
      <c r="D315" s="18"/>
      <c r="E315" s="15"/>
      <c r="F315" s="15"/>
      <c r="G315" s="8" t="str">
        <f aca="false">IF(AND(E315="",F315=""),"",SUM($E$5:E315)-SUM($F$5:F315))</f>
        <v/>
      </c>
    </row>
    <row r="316" customFormat="false" ht="15" hidden="false" customHeight="false" outlineLevel="0" collapsed="false">
      <c r="A316" s="19"/>
      <c r="B316" s="18"/>
      <c r="C316" s="18"/>
      <c r="D316" s="18"/>
      <c r="E316" s="15"/>
      <c r="F316" s="15"/>
      <c r="G316" s="8" t="str">
        <f aca="false">IF(AND(E316="",F316=""),"",SUM($E$5:E316)-SUM($F$5:F316))</f>
        <v/>
      </c>
    </row>
    <row r="317" customFormat="false" ht="15" hidden="false" customHeight="false" outlineLevel="0" collapsed="false">
      <c r="A317" s="19"/>
      <c r="B317" s="18"/>
      <c r="C317" s="18"/>
      <c r="D317" s="18"/>
      <c r="E317" s="15"/>
      <c r="F317" s="15"/>
      <c r="G317" s="8" t="str">
        <f aca="false">IF(AND(E317="",F317=""),"",SUM($E$5:E317)-SUM($F$5:F317))</f>
        <v/>
      </c>
    </row>
    <row r="318" customFormat="false" ht="15" hidden="false" customHeight="false" outlineLevel="0" collapsed="false">
      <c r="A318" s="19"/>
      <c r="B318" s="18"/>
      <c r="C318" s="18"/>
      <c r="D318" s="18"/>
      <c r="E318" s="15"/>
      <c r="F318" s="15"/>
      <c r="G318" s="8" t="str">
        <f aca="false">IF(AND(E318="",F318=""),"",SUM($E$5:E318)-SUM($F$5:F318))</f>
        <v/>
      </c>
    </row>
    <row r="319" customFormat="false" ht="15" hidden="false" customHeight="false" outlineLevel="0" collapsed="false">
      <c r="A319" s="19"/>
      <c r="B319" s="18"/>
      <c r="C319" s="18"/>
      <c r="D319" s="18"/>
      <c r="E319" s="15"/>
      <c r="F319" s="15"/>
      <c r="G319" s="8" t="str">
        <f aca="false">IF(AND(E319="",F319=""),"",SUM($E$5:E319)-SUM($F$5:F319))</f>
        <v/>
      </c>
    </row>
    <row r="320" customFormat="false" ht="15" hidden="false" customHeight="false" outlineLevel="0" collapsed="false">
      <c r="A320" s="19"/>
      <c r="B320" s="18"/>
      <c r="C320" s="18"/>
      <c r="D320" s="18"/>
      <c r="E320" s="15"/>
      <c r="F320" s="15"/>
      <c r="G320" s="8" t="str">
        <f aca="false">IF(AND(E320="",F320=""),"",SUM($E$5:E320)-SUM($F$5:F320))</f>
        <v/>
      </c>
    </row>
    <row r="321" customFormat="false" ht="15" hidden="false" customHeight="false" outlineLevel="0" collapsed="false">
      <c r="A321" s="19"/>
      <c r="B321" s="18"/>
      <c r="C321" s="18"/>
      <c r="D321" s="18"/>
      <c r="E321" s="15"/>
      <c r="F321" s="15"/>
      <c r="G321" s="8" t="str">
        <f aca="false">IF(AND(E321="",F321=""),"",SUM($E$5:E321)-SUM($F$5:F321))</f>
        <v/>
      </c>
    </row>
    <row r="322" customFormat="false" ht="15" hidden="false" customHeight="false" outlineLevel="0" collapsed="false">
      <c r="A322" s="19"/>
      <c r="B322" s="18"/>
      <c r="C322" s="18"/>
      <c r="D322" s="18"/>
      <c r="E322" s="15"/>
      <c r="F322" s="15"/>
      <c r="G322" s="8" t="str">
        <f aca="false">IF(AND(E322="",F322=""),"",SUM($E$5:E322)-SUM($F$5:F322))</f>
        <v/>
      </c>
    </row>
    <row r="323" customFormat="false" ht="15" hidden="false" customHeight="false" outlineLevel="0" collapsed="false">
      <c r="A323" s="19"/>
      <c r="B323" s="18"/>
      <c r="C323" s="18"/>
      <c r="D323" s="18"/>
      <c r="E323" s="15"/>
      <c r="F323" s="15"/>
      <c r="G323" s="8" t="str">
        <f aca="false">IF(AND(E323="",F323=""),"",SUM($E$5:E323)-SUM($F$5:F323))</f>
        <v/>
      </c>
    </row>
    <row r="324" customFormat="false" ht="15" hidden="false" customHeight="false" outlineLevel="0" collapsed="false">
      <c r="A324" s="19"/>
      <c r="B324" s="18"/>
      <c r="C324" s="18"/>
      <c r="D324" s="18"/>
      <c r="E324" s="15"/>
      <c r="F324" s="15"/>
      <c r="G324" s="8" t="str">
        <f aca="false">IF(AND(E324="",F324=""),"",SUM($E$5:E324)-SUM($F$5:F324))</f>
        <v/>
      </c>
    </row>
    <row r="325" customFormat="false" ht="15" hidden="false" customHeight="false" outlineLevel="0" collapsed="false">
      <c r="A325" s="19"/>
      <c r="B325" s="18"/>
      <c r="C325" s="18"/>
      <c r="D325" s="18"/>
      <c r="E325" s="15"/>
      <c r="F325" s="15"/>
      <c r="G325" s="8" t="str">
        <f aca="false">IF(AND(E325="",F325=""),"",SUM($E$5:E325)-SUM($F$5:F325))</f>
        <v/>
      </c>
    </row>
    <row r="326" customFormat="false" ht="15" hidden="false" customHeight="false" outlineLevel="0" collapsed="false">
      <c r="A326" s="19"/>
      <c r="B326" s="18"/>
      <c r="C326" s="18"/>
      <c r="D326" s="18"/>
      <c r="E326" s="15"/>
      <c r="F326" s="15"/>
      <c r="G326" s="8" t="str">
        <f aca="false">IF(AND(E326="",F326=""),"",SUM($E$5:E326)-SUM($F$5:F326))</f>
        <v/>
      </c>
    </row>
    <row r="327" customFormat="false" ht="15" hidden="false" customHeight="false" outlineLevel="0" collapsed="false">
      <c r="A327" s="19"/>
      <c r="B327" s="18"/>
      <c r="C327" s="18"/>
      <c r="D327" s="18"/>
      <c r="E327" s="15"/>
      <c r="F327" s="15"/>
      <c r="G327" s="8" t="str">
        <f aca="false">IF(AND(E327="",F327=""),"",SUM($E$5:E327)-SUM($F$5:F327))</f>
        <v/>
      </c>
    </row>
    <row r="328" customFormat="false" ht="15" hidden="false" customHeight="false" outlineLevel="0" collapsed="false">
      <c r="A328" s="19"/>
      <c r="B328" s="18"/>
      <c r="C328" s="18"/>
      <c r="D328" s="18"/>
      <c r="E328" s="15"/>
      <c r="F328" s="15"/>
      <c r="G328" s="8" t="str">
        <f aca="false">IF(AND(E328="",F328=""),"",SUM($E$5:E328)-SUM($F$5:F328))</f>
        <v/>
      </c>
    </row>
    <row r="329" customFormat="false" ht="15" hidden="false" customHeight="false" outlineLevel="0" collapsed="false">
      <c r="A329" s="19"/>
      <c r="B329" s="18"/>
      <c r="C329" s="18"/>
      <c r="D329" s="18"/>
      <c r="E329" s="15"/>
      <c r="F329" s="15"/>
      <c r="G329" s="8" t="str">
        <f aca="false">IF(AND(E329="",F329=""),"",SUM($E$5:E329)-SUM($F$5:F329))</f>
        <v/>
      </c>
    </row>
    <row r="330" customFormat="false" ht="15" hidden="false" customHeight="false" outlineLevel="0" collapsed="false">
      <c r="A330" s="19"/>
      <c r="B330" s="18"/>
      <c r="C330" s="18"/>
      <c r="D330" s="18"/>
      <c r="E330" s="15"/>
      <c r="F330" s="15"/>
      <c r="G330" s="8" t="str">
        <f aca="false">IF(AND(E330="",F330=""),"",SUM($E$5:E330)-SUM($F$5:F330))</f>
        <v/>
      </c>
    </row>
    <row r="331" customFormat="false" ht="15" hidden="false" customHeight="false" outlineLevel="0" collapsed="false">
      <c r="A331" s="19"/>
      <c r="B331" s="18"/>
      <c r="C331" s="18"/>
      <c r="D331" s="18"/>
      <c r="E331" s="15"/>
      <c r="F331" s="15"/>
      <c r="G331" s="8" t="str">
        <f aca="false">IF(AND(E331="",F331=""),"",SUM($E$5:E331)-SUM($F$5:F331))</f>
        <v/>
      </c>
    </row>
    <row r="332" customFormat="false" ht="15" hidden="false" customHeight="false" outlineLevel="0" collapsed="false">
      <c r="A332" s="19"/>
      <c r="B332" s="18"/>
      <c r="C332" s="18"/>
      <c r="D332" s="18"/>
      <c r="E332" s="15"/>
      <c r="F332" s="15"/>
      <c r="G332" s="8" t="str">
        <f aca="false">IF(AND(E332="",F332=""),"",SUM($E$5:E332)-SUM($F$5:F332))</f>
        <v/>
      </c>
    </row>
    <row r="333" customFormat="false" ht="15" hidden="false" customHeight="false" outlineLevel="0" collapsed="false">
      <c r="A333" s="19"/>
      <c r="B333" s="18"/>
      <c r="C333" s="18"/>
      <c r="D333" s="18"/>
      <c r="E333" s="15"/>
      <c r="F333" s="15"/>
      <c r="G333" s="8" t="str">
        <f aca="false">IF(AND(E333="",F333=""),"",SUM($E$5:E333)-SUM($F$5:F333))</f>
        <v/>
      </c>
    </row>
    <row r="334" customFormat="false" ht="15" hidden="false" customHeight="false" outlineLevel="0" collapsed="false">
      <c r="A334" s="19"/>
      <c r="B334" s="18"/>
      <c r="C334" s="18"/>
      <c r="D334" s="18"/>
      <c r="E334" s="15"/>
      <c r="F334" s="15"/>
      <c r="G334" s="8" t="str">
        <f aca="false">IF(AND(E334="",F334=""),"",SUM($E$5:E334)-SUM($F$5:F334))</f>
        <v/>
      </c>
    </row>
    <row r="335" customFormat="false" ht="15" hidden="false" customHeight="false" outlineLevel="0" collapsed="false">
      <c r="A335" s="19"/>
      <c r="B335" s="18"/>
      <c r="C335" s="18"/>
      <c r="D335" s="18"/>
      <c r="E335" s="15"/>
      <c r="F335" s="15"/>
      <c r="G335" s="8" t="str">
        <f aca="false">IF(AND(E335="",F335=""),"",SUM($E$5:E335)-SUM($F$5:F335))</f>
        <v/>
      </c>
    </row>
    <row r="336" customFormat="false" ht="15" hidden="false" customHeight="false" outlineLevel="0" collapsed="false">
      <c r="A336" s="19"/>
      <c r="B336" s="18"/>
      <c r="C336" s="18"/>
      <c r="D336" s="18"/>
      <c r="E336" s="15"/>
      <c r="F336" s="15"/>
      <c r="G336" s="8" t="str">
        <f aca="false">IF(AND(E336="",F336=""),"",SUM($E$5:E336)-SUM($F$5:F336))</f>
        <v/>
      </c>
    </row>
    <row r="337" customFormat="false" ht="15" hidden="false" customHeight="false" outlineLevel="0" collapsed="false">
      <c r="A337" s="19"/>
      <c r="B337" s="18"/>
      <c r="C337" s="18"/>
      <c r="D337" s="18"/>
      <c r="E337" s="15"/>
      <c r="F337" s="15"/>
      <c r="G337" s="8" t="str">
        <f aca="false">IF(AND(E337="",F337=""),"",SUM($E$5:E337)-SUM($F$5:F337))</f>
        <v/>
      </c>
    </row>
    <row r="338" customFormat="false" ht="15" hidden="false" customHeight="false" outlineLevel="0" collapsed="false">
      <c r="A338" s="19"/>
      <c r="B338" s="18"/>
      <c r="C338" s="18"/>
      <c r="D338" s="18"/>
      <c r="E338" s="15"/>
      <c r="F338" s="15"/>
      <c r="G338" s="8" t="str">
        <f aca="false">IF(AND(E338="",F338=""),"",SUM($E$5:E338)-SUM($F$5:F338))</f>
        <v/>
      </c>
    </row>
    <row r="339" customFormat="false" ht="15" hidden="false" customHeight="false" outlineLevel="0" collapsed="false">
      <c r="A339" s="19"/>
      <c r="B339" s="18"/>
      <c r="C339" s="18"/>
      <c r="D339" s="18"/>
      <c r="E339" s="15"/>
      <c r="F339" s="15"/>
      <c r="G339" s="8" t="str">
        <f aca="false">IF(AND(E339="",F339=""),"",SUM($E$5:E339)-SUM($F$5:F339))</f>
        <v/>
      </c>
    </row>
    <row r="340" customFormat="false" ht="15" hidden="false" customHeight="false" outlineLevel="0" collapsed="false">
      <c r="A340" s="19"/>
      <c r="B340" s="18"/>
      <c r="C340" s="18"/>
      <c r="D340" s="18"/>
      <c r="E340" s="15"/>
      <c r="F340" s="15"/>
      <c r="G340" s="8" t="str">
        <f aca="false">IF(AND(E340="",F340=""),"",SUM($E$5:E340)-SUM($F$5:F340))</f>
        <v/>
      </c>
    </row>
    <row r="341" customFormat="false" ht="15" hidden="false" customHeight="false" outlineLevel="0" collapsed="false">
      <c r="A341" s="19"/>
      <c r="B341" s="18"/>
      <c r="C341" s="18"/>
      <c r="D341" s="18"/>
      <c r="E341" s="15"/>
      <c r="F341" s="15"/>
      <c r="G341" s="8" t="str">
        <f aca="false">IF(AND(E341="",F341=""),"",SUM($E$5:E341)-SUM($F$5:F341))</f>
        <v/>
      </c>
    </row>
    <row r="342" customFormat="false" ht="15" hidden="false" customHeight="false" outlineLevel="0" collapsed="false">
      <c r="A342" s="19"/>
      <c r="B342" s="18"/>
      <c r="C342" s="18"/>
      <c r="D342" s="18"/>
      <c r="E342" s="15"/>
      <c r="F342" s="15"/>
      <c r="G342" s="8" t="str">
        <f aca="false">IF(AND(E342="",F342=""),"",SUM($E$5:E342)-SUM($F$5:F342))</f>
        <v/>
      </c>
    </row>
    <row r="343" customFormat="false" ht="15" hidden="false" customHeight="false" outlineLevel="0" collapsed="false">
      <c r="A343" s="19"/>
      <c r="B343" s="18"/>
      <c r="C343" s="18"/>
      <c r="D343" s="18"/>
      <c r="E343" s="15"/>
      <c r="F343" s="15"/>
      <c r="G343" s="8" t="str">
        <f aca="false">IF(AND(E343="",F343=""),"",SUM($E$5:E343)-SUM($F$5:F343))</f>
        <v/>
      </c>
    </row>
    <row r="344" customFormat="false" ht="15" hidden="false" customHeight="false" outlineLevel="0" collapsed="false">
      <c r="A344" s="19"/>
      <c r="B344" s="18"/>
      <c r="C344" s="18"/>
      <c r="D344" s="18"/>
      <c r="E344" s="15"/>
      <c r="F344" s="15"/>
      <c r="G344" s="8" t="str">
        <f aca="false">IF(AND(E344="",F344=""),"",SUM($E$5:E344)-SUM($F$5:F344))</f>
        <v/>
      </c>
    </row>
    <row r="345" customFormat="false" ht="15" hidden="false" customHeight="false" outlineLevel="0" collapsed="false">
      <c r="A345" s="19"/>
      <c r="B345" s="18"/>
      <c r="C345" s="18"/>
      <c r="D345" s="18"/>
      <c r="E345" s="15"/>
      <c r="F345" s="15"/>
      <c r="G345" s="8" t="str">
        <f aca="false">IF(AND(E345="",F345=""),"",SUM($E$5:E345)-SUM($F$5:F345))</f>
        <v/>
      </c>
    </row>
    <row r="346" customFormat="false" ht="15" hidden="false" customHeight="false" outlineLevel="0" collapsed="false">
      <c r="A346" s="19"/>
      <c r="B346" s="18"/>
      <c r="C346" s="18"/>
      <c r="D346" s="18"/>
      <c r="E346" s="15"/>
      <c r="F346" s="15"/>
      <c r="G346" s="8" t="str">
        <f aca="false">IF(AND(E346="",F346=""),"",SUM($E$5:E346)-SUM($F$5:F346))</f>
        <v/>
      </c>
    </row>
    <row r="347" customFormat="false" ht="15" hidden="false" customHeight="false" outlineLevel="0" collapsed="false">
      <c r="A347" s="19"/>
      <c r="B347" s="18"/>
      <c r="C347" s="18"/>
      <c r="D347" s="18"/>
      <c r="E347" s="15"/>
      <c r="F347" s="15"/>
      <c r="G347" s="8" t="str">
        <f aca="false">IF(AND(E347="",F347=""),"",SUM($E$5:E347)-SUM($F$5:F347))</f>
        <v/>
      </c>
    </row>
    <row r="348" customFormat="false" ht="15" hidden="false" customHeight="false" outlineLevel="0" collapsed="false">
      <c r="A348" s="19"/>
      <c r="B348" s="18"/>
      <c r="C348" s="18"/>
      <c r="D348" s="18"/>
      <c r="E348" s="15"/>
      <c r="F348" s="15"/>
      <c r="G348" s="8" t="str">
        <f aca="false">IF(AND(E348="",F348=""),"",SUM($E$5:E348)-SUM($F$5:F348))</f>
        <v/>
      </c>
    </row>
    <row r="349" customFormat="false" ht="15" hidden="false" customHeight="false" outlineLevel="0" collapsed="false">
      <c r="A349" s="19"/>
      <c r="B349" s="18"/>
      <c r="C349" s="18"/>
      <c r="D349" s="18"/>
      <c r="E349" s="15"/>
      <c r="F349" s="15"/>
      <c r="G349" s="8" t="str">
        <f aca="false">IF(AND(E349="",F349=""),"",SUM($E$5:E349)-SUM($F$5:F349))</f>
        <v/>
      </c>
    </row>
    <row r="350" customFormat="false" ht="15" hidden="false" customHeight="false" outlineLevel="0" collapsed="false">
      <c r="A350" s="19"/>
      <c r="B350" s="18"/>
      <c r="C350" s="18"/>
      <c r="D350" s="18"/>
      <c r="E350" s="15"/>
      <c r="F350" s="15"/>
      <c r="G350" s="8" t="str">
        <f aca="false">IF(AND(E350="",F350=""),"",SUM($E$5:E350)-SUM($F$5:F350))</f>
        <v/>
      </c>
    </row>
    <row r="351" customFormat="false" ht="15" hidden="false" customHeight="false" outlineLevel="0" collapsed="false">
      <c r="A351" s="19"/>
      <c r="B351" s="18"/>
      <c r="C351" s="18"/>
      <c r="D351" s="18"/>
      <c r="E351" s="15"/>
      <c r="F351" s="15"/>
      <c r="G351" s="8" t="str">
        <f aca="false">IF(AND(E351="",F351=""),"",SUM($E$5:E351)-SUM($F$5:F351))</f>
        <v/>
      </c>
    </row>
    <row r="352" customFormat="false" ht="15" hidden="false" customHeight="false" outlineLevel="0" collapsed="false">
      <c r="A352" s="19"/>
      <c r="B352" s="18"/>
      <c r="C352" s="18"/>
      <c r="D352" s="18"/>
      <c r="E352" s="15"/>
      <c r="F352" s="15"/>
      <c r="G352" s="8" t="str">
        <f aca="false">IF(AND(E352="",F352=""),"",SUM($E$5:E352)-SUM($F$5:F352))</f>
        <v/>
      </c>
    </row>
    <row r="353" customFormat="false" ht="15" hidden="false" customHeight="false" outlineLevel="0" collapsed="false">
      <c r="A353" s="19"/>
      <c r="B353" s="18"/>
      <c r="C353" s="18"/>
      <c r="D353" s="18"/>
      <c r="E353" s="15"/>
      <c r="F353" s="15"/>
      <c r="G353" s="8" t="str">
        <f aca="false">IF(AND(E353="",F353=""),"",SUM($E$5:E353)-SUM($F$5:F353))</f>
        <v/>
      </c>
    </row>
    <row r="354" customFormat="false" ht="15" hidden="false" customHeight="false" outlineLevel="0" collapsed="false">
      <c r="A354" s="19"/>
      <c r="B354" s="18"/>
      <c r="C354" s="18"/>
      <c r="D354" s="18"/>
      <c r="E354" s="15"/>
      <c r="F354" s="15"/>
      <c r="G354" s="8" t="str">
        <f aca="false">IF(AND(E354="",F354=""),"",SUM($E$5:E354)-SUM($F$5:F354))</f>
        <v/>
      </c>
    </row>
    <row r="355" customFormat="false" ht="15" hidden="false" customHeight="false" outlineLevel="0" collapsed="false">
      <c r="A355" s="19"/>
      <c r="B355" s="18"/>
      <c r="C355" s="18"/>
      <c r="D355" s="18"/>
      <c r="E355" s="15"/>
      <c r="F355" s="15"/>
      <c r="G355" s="8" t="str">
        <f aca="false">IF(AND(E355="",F355=""),"",SUM($E$5:E355)-SUM($F$5:F355))</f>
        <v/>
      </c>
    </row>
    <row r="356" customFormat="false" ht="15" hidden="false" customHeight="false" outlineLevel="0" collapsed="false">
      <c r="A356" s="19"/>
      <c r="B356" s="18"/>
      <c r="C356" s="18"/>
      <c r="D356" s="18"/>
      <c r="E356" s="15"/>
      <c r="F356" s="15"/>
      <c r="G356" s="8" t="str">
        <f aca="false">IF(AND(E356="",F356=""),"",SUM($E$5:E356)-SUM($F$5:F356))</f>
        <v/>
      </c>
    </row>
    <row r="357" customFormat="false" ht="15" hidden="false" customHeight="false" outlineLevel="0" collapsed="false">
      <c r="A357" s="19"/>
      <c r="B357" s="18"/>
      <c r="C357" s="18"/>
      <c r="D357" s="18"/>
      <c r="E357" s="15"/>
      <c r="F357" s="15"/>
      <c r="G357" s="8" t="str">
        <f aca="false">IF(AND(E357="",F357=""),"",SUM($E$5:E357)-SUM($F$5:F357))</f>
        <v/>
      </c>
    </row>
    <row r="358" customFormat="false" ht="15" hidden="false" customHeight="false" outlineLevel="0" collapsed="false">
      <c r="A358" s="19"/>
      <c r="B358" s="18"/>
      <c r="C358" s="18"/>
      <c r="D358" s="18"/>
      <c r="E358" s="15"/>
      <c r="F358" s="15"/>
      <c r="G358" s="8" t="str">
        <f aca="false">IF(AND(E358="",F358=""),"",SUM($E$5:E358)-SUM($F$5:F358))</f>
        <v/>
      </c>
    </row>
    <row r="359" customFormat="false" ht="15" hidden="false" customHeight="false" outlineLevel="0" collapsed="false">
      <c r="A359" s="19"/>
      <c r="B359" s="18"/>
      <c r="C359" s="18"/>
      <c r="D359" s="18"/>
      <c r="E359" s="15"/>
      <c r="F359" s="15"/>
      <c r="G359" s="8" t="str">
        <f aca="false">IF(AND(E359="",F359=""),"",SUM($E$5:E359)-SUM($F$5:F359))</f>
        <v/>
      </c>
    </row>
    <row r="360" customFormat="false" ht="15" hidden="false" customHeight="false" outlineLevel="0" collapsed="false">
      <c r="A360" s="19"/>
      <c r="B360" s="18"/>
      <c r="C360" s="18"/>
      <c r="D360" s="18"/>
      <c r="E360" s="15"/>
      <c r="F360" s="15"/>
      <c r="G360" s="8" t="str">
        <f aca="false">IF(AND(E360="",F360=""),"",SUM($E$5:E360)-SUM($F$5:F360))</f>
        <v/>
      </c>
    </row>
    <row r="361" customFormat="false" ht="15" hidden="false" customHeight="false" outlineLevel="0" collapsed="false">
      <c r="A361" s="19"/>
      <c r="B361" s="18"/>
      <c r="C361" s="18"/>
      <c r="D361" s="18"/>
      <c r="E361" s="15"/>
      <c r="F361" s="15"/>
      <c r="G361" s="8" t="str">
        <f aca="false">IF(AND(E361="",F361=""),"",SUM($E$5:E361)-SUM($F$5:F361))</f>
        <v/>
      </c>
    </row>
    <row r="362" customFormat="false" ht="15" hidden="false" customHeight="false" outlineLevel="0" collapsed="false">
      <c r="A362" s="19"/>
      <c r="B362" s="18"/>
      <c r="C362" s="18"/>
      <c r="D362" s="18"/>
      <c r="E362" s="15"/>
      <c r="F362" s="15"/>
      <c r="G362" s="8" t="str">
        <f aca="false">IF(AND(E362="",F362=""),"",SUM($E$5:E362)-SUM($F$5:F362))</f>
        <v/>
      </c>
    </row>
    <row r="363" customFormat="false" ht="15" hidden="false" customHeight="false" outlineLevel="0" collapsed="false">
      <c r="A363" s="19"/>
      <c r="B363" s="18"/>
      <c r="C363" s="18"/>
      <c r="D363" s="18"/>
      <c r="E363" s="15"/>
      <c r="F363" s="15"/>
      <c r="G363" s="8" t="str">
        <f aca="false">IF(AND(E363="",F363=""),"",SUM($E$5:E363)-SUM($F$5:F363))</f>
        <v/>
      </c>
    </row>
    <row r="364" customFormat="false" ht="15" hidden="false" customHeight="false" outlineLevel="0" collapsed="false">
      <c r="A364" s="19"/>
      <c r="B364" s="18"/>
      <c r="C364" s="18"/>
      <c r="D364" s="18"/>
      <c r="E364" s="15"/>
      <c r="F364" s="15"/>
      <c r="G364" s="8" t="str">
        <f aca="false">IF(AND(E364="",F364=""),"",SUM($E$5:E364)-SUM($F$5:F364))</f>
        <v/>
      </c>
    </row>
    <row r="365" customFormat="false" ht="15" hidden="false" customHeight="false" outlineLevel="0" collapsed="false">
      <c r="A365" s="19"/>
      <c r="B365" s="18"/>
      <c r="C365" s="18"/>
      <c r="D365" s="18"/>
      <c r="E365" s="15"/>
      <c r="F365" s="15"/>
      <c r="G365" s="8" t="str">
        <f aca="false">IF(AND(E365="",F365=""),"",SUM($E$5:E365)-SUM($F$5:F365))</f>
        <v/>
      </c>
    </row>
    <row r="366" customFormat="false" ht="15" hidden="false" customHeight="false" outlineLevel="0" collapsed="false">
      <c r="A366" s="19"/>
      <c r="B366" s="18"/>
      <c r="C366" s="18"/>
      <c r="D366" s="18"/>
      <c r="E366" s="15"/>
      <c r="F366" s="15"/>
      <c r="G366" s="8" t="str">
        <f aca="false">IF(AND(E366="",F366=""),"",SUM($E$5:E366)-SUM($F$5:F366))</f>
        <v/>
      </c>
    </row>
    <row r="367" customFormat="false" ht="15" hidden="false" customHeight="false" outlineLevel="0" collapsed="false">
      <c r="A367" s="19"/>
      <c r="B367" s="18"/>
      <c r="C367" s="18"/>
      <c r="D367" s="18"/>
      <c r="E367" s="15"/>
      <c r="F367" s="15"/>
      <c r="G367" s="8" t="str">
        <f aca="false">IF(AND(E367="",F367=""),"",SUM($E$5:E367)-SUM($F$5:F367))</f>
        <v/>
      </c>
    </row>
    <row r="368" customFormat="false" ht="15" hidden="false" customHeight="false" outlineLevel="0" collapsed="false">
      <c r="A368" s="19"/>
      <c r="B368" s="18"/>
      <c r="C368" s="18"/>
      <c r="D368" s="18"/>
      <c r="E368" s="15"/>
      <c r="F368" s="15"/>
      <c r="G368" s="8" t="str">
        <f aca="false">IF(AND(E368="",F368=""),"",SUM($E$5:E368)-SUM($F$5:F368))</f>
        <v/>
      </c>
    </row>
    <row r="369" customFormat="false" ht="15" hidden="false" customHeight="false" outlineLevel="0" collapsed="false">
      <c r="A369" s="19"/>
      <c r="B369" s="18"/>
      <c r="C369" s="18"/>
      <c r="D369" s="18"/>
      <c r="E369" s="15"/>
      <c r="F369" s="15"/>
      <c r="G369" s="8" t="str">
        <f aca="false">IF(AND(E369="",F369=""),"",SUM($E$5:E369)-SUM($F$5:F369))</f>
        <v/>
      </c>
    </row>
    <row r="370" customFormat="false" ht="15" hidden="false" customHeight="false" outlineLevel="0" collapsed="false">
      <c r="A370" s="19"/>
      <c r="B370" s="18"/>
      <c r="C370" s="18"/>
      <c r="D370" s="18"/>
      <c r="E370" s="15"/>
      <c r="F370" s="15"/>
      <c r="G370" s="8" t="str">
        <f aca="false">IF(AND(E370="",F370=""),"",SUM($E$5:E370)-SUM($F$5:F370))</f>
        <v/>
      </c>
    </row>
    <row r="371" customFormat="false" ht="15" hidden="false" customHeight="false" outlineLevel="0" collapsed="false">
      <c r="A371" s="19"/>
      <c r="B371" s="18"/>
      <c r="C371" s="18"/>
      <c r="D371" s="18"/>
      <c r="E371" s="15"/>
      <c r="F371" s="15"/>
      <c r="G371" s="8" t="str">
        <f aca="false">IF(AND(E371="",F371=""),"",SUM($E$5:E371)-SUM($F$5:F371))</f>
        <v/>
      </c>
    </row>
    <row r="372" customFormat="false" ht="15" hidden="false" customHeight="false" outlineLevel="0" collapsed="false">
      <c r="A372" s="19"/>
      <c r="B372" s="18"/>
      <c r="C372" s="18"/>
      <c r="D372" s="18"/>
      <c r="E372" s="15"/>
      <c r="F372" s="15"/>
      <c r="G372" s="8" t="str">
        <f aca="false">IF(AND(E372="",F372=""),"",SUM($E$5:E372)-SUM($F$5:F372))</f>
        <v/>
      </c>
    </row>
    <row r="373" customFormat="false" ht="15" hidden="false" customHeight="false" outlineLevel="0" collapsed="false">
      <c r="A373" s="19"/>
      <c r="B373" s="18"/>
      <c r="C373" s="18"/>
      <c r="D373" s="18"/>
      <c r="E373" s="15"/>
      <c r="F373" s="15"/>
      <c r="G373" s="8" t="str">
        <f aca="false">IF(AND(E373="",F373=""),"",SUM($E$5:E373)-SUM($F$5:F373))</f>
        <v/>
      </c>
    </row>
    <row r="374" customFormat="false" ht="15" hidden="false" customHeight="false" outlineLevel="0" collapsed="false">
      <c r="A374" s="19"/>
      <c r="B374" s="18"/>
      <c r="C374" s="18"/>
      <c r="D374" s="18"/>
      <c r="E374" s="15"/>
      <c r="F374" s="15"/>
      <c r="G374" s="8" t="str">
        <f aca="false">IF(AND(E374="",F374=""),"",SUM($E$5:E374)-SUM($F$5:F374))</f>
        <v/>
      </c>
    </row>
    <row r="375" customFormat="false" ht="15" hidden="false" customHeight="false" outlineLevel="0" collapsed="false">
      <c r="A375" s="19"/>
      <c r="B375" s="18"/>
      <c r="C375" s="18"/>
      <c r="D375" s="18"/>
      <c r="E375" s="15"/>
      <c r="F375" s="15"/>
      <c r="G375" s="8" t="str">
        <f aca="false">IF(AND(E375="",F375=""),"",SUM($E$5:E375)-SUM($F$5:F375))</f>
        <v/>
      </c>
    </row>
    <row r="376" customFormat="false" ht="15" hidden="false" customHeight="false" outlineLevel="0" collapsed="false">
      <c r="A376" s="19"/>
      <c r="B376" s="18"/>
      <c r="C376" s="18"/>
      <c r="D376" s="18"/>
      <c r="E376" s="15"/>
      <c r="F376" s="15"/>
      <c r="G376" s="8" t="str">
        <f aca="false">IF(AND(E376="",F376=""),"",SUM($E$5:E376)-SUM($F$5:F376))</f>
        <v/>
      </c>
    </row>
    <row r="377" customFormat="false" ht="15" hidden="false" customHeight="false" outlineLevel="0" collapsed="false">
      <c r="A377" s="19"/>
      <c r="B377" s="18"/>
      <c r="C377" s="18"/>
      <c r="D377" s="18"/>
      <c r="E377" s="15"/>
      <c r="F377" s="15"/>
      <c r="G377" s="8" t="str">
        <f aca="false">IF(AND(E377="",F377=""),"",SUM($E$5:E377)-SUM($F$5:F377))</f>
        <v/>
      </c>
    </row>
    <row r="378" customFormat="false" ht="15" hidden="false" customHeight="false" outlineLevel="0" collapsed="false">
      <c r="A378" s="19"/>
      <c r="B378" s="18"/>
      <c r="C378" s="18"/>
      <c r="D378" s="18"/>
      <c r="E378" s="15"/>
      <c r="F378" s="15"/>
      <c r="G378" s="8" t="str">
        <f aca="false">IF(AND(E378="",F378=""),"",SUM($E$5:E378)-SUM($F$5:F378))</f>
        <v/>
      </c>
    </row>
    <row r="379" customFormat="false" ht="15" hidden="false" customHeight="false" outlineLevel="0" collapsed="false">
      <c r="A379" s="19"/>
      <c r="B379" s="18"/>
      <c r="C379" s="18"/>
      <c r="D379" s="18"/>
      <c r="E379" s="15"/>
      <c r="F379" s="15"/>
      <c r="G379" s="8" t="str">
        <f aca="false">IF(AND(E379="",F379=""),"",SUM($E$5:E379)-SUM($F$5:F379))</f>
        <v/>
      </c>
    </row>
    <row r="380" customFormat="false" ht="15" hidden="false" customHeight="false" outlineLevel="0" collapsed="false">
      <c r="A380" s="19"/>
      <c r="B380" s="18"/>
      <c r="C380" s="18"/>
      <c r="D380" s="18"/>
      <c r="E380" s="15"/>
      <c r="F380" s="15"/>
      <c r="G380" s="8" t="str">
        <f aca="false">IF(AND(E380="",F380=""),"",SUM($E$5:E380)-SUM($F$5:F380))</f>
        <v/>
      </c>
    </row>
    <row r="381" customFormat="false" ht="15" hidden="false" customHeight="false" outlineLevel="0" collapsed="false">
      <c r="A381" s="19"/>
      <c r="B381" s="18"/>
      <c r="C381" s="18"/>
      <c r="D381" s="18"/>
      <c r="E381" s="15"/>
      <c r="F381" s="15"/>
      <c r="G381" s="8" t="str">
        <f aca="false">IF(AND(E381="",F381=""),"",SUM($E$5:E381)-SUM($F$5:F381))</f>
        <v/>
      </c>
    </row>
    <row r="382" customFormat="false" ht="15" hidden="false" customHeight="false" outlineLevel="0" collapsed="false">
      <c r="A382" s="19"/>
      <c r="B382" s="18"/>
      <c r="C382" s="18"/>
      <c r="D382" s="18"/>
      <c r="E382" s="15"/>
      <c r="F382" s="15"/>
      <c r="G382" s="8" t="str">
        <f aca="false">IF(AND(E382="",F382=""),"",SUM($E$5:E382)-SUM($F$5:F382))</f>
        <v/>
      </c>
    </row>
    <row r="383" customFormat="false" ht="15" hidden="false" customHeight="false" outlineLevel="0" collapsed="false">
      <c r="A383" s="19"/>
      <c r="B383" s="18"/>
      <c r="C383" s="18"/>
      <c r="D383" s="18"/>
      <c r="E383" s="15"/>
      <c r="F383" s="15"/>
      <c r="G383" s="8" t="str">
        <f aca="false">IF(AND(E383="",F383=""),"",SUM($E$5:E383)-SUM($F$5:F383))</f>
        <v/>
      </c>
    </row>
    <row r="384" customFormat="false" ht="15" hidden="false" customHeight="false" outlineLevel="0" collapsed="false">
      <c r="A384" s="19"/>
      <c r="B384" s="18"/>
      <c r="C384" s="18"/>
      <c r="D384" s="18"/>
      <c r="E384" s="15"/>
      <c r="F384" s="15"/>
      <c r="G384" s="8" t="str">
        <f aca="false">IF(AND(E384="",F384=""),"",SUM($E$5:E384)-SUM($F$5:F384))</f>
        <v/>
      </c>
    </row>
    <row r="385" customFormat="false" ht="15" hidden="false" customHeight="false" outlineLevel="0" collapsed="false">
      <c r="A385" s="19"/>
      <c r="B385" s="18"/>
      <c r="C385" s="18"/>
      <c r="D385" s="18"/>
      <c r="E385" s="15"/>
      <c r="F385" s="15"/>
      <c r="G385" s="8" t="str">
        <f aca="false">IF(AND(E385="",F385=""),"",SUM($E$5:E385)-SUM($F$5:F385))</f>
        <v/>
      </c>
    </row>
    <row r="386" customFormat="false" ht="15" hidden="false" customHeight="false" outlineLevel="0" collapsed="false">
      <c r="A386" s="19"/>
      <c r="B386" s="18"/>
      <c r="C386" s="18"/>
      <c r="D386" s="18"/>
      <c r="E386" s="15"/>
      <c r="F386" s="15"/>
      <c r="G386" s="8" t="str">
        <f aca="false">IF(AND(E386="",F386=""),"",SUM($E$5:E386)-SUM($F$5:F386))</f>
        <v/>
      </c>
    </row>
    <row r="387" customFormat="false" ht="15" hidden="false" customHeight="false" outlineLevel="0" collapsed="false">
      <c r="A387" s="19"/>
      <c r="B387" s="18"/>
      <c r="C387" s="18"/>
      <c r="D387" s="18"/>
      <c r="E387" s="15"/>
      <c r="F387" s="15"/>
      <c r="G387" s="8" t="str">
        <f aca="false">IF(AND(E387="",F387=""),"",SUM($E$5:E387)-SUM($F$5:F387))</f>
        <v/>
      </c>
    </row>
    <row r="388" customFormat="false" ht="15" hidden="false" customHeight="false" outlineLevel="0" collapsed="false">
      <c r="A388" s="19"/>
      <c r="B388" s="18"/>
      <c r="C388" s="18"/>
      <c r="D388" s="18"/>
      <c r="E388" s="15"/>
      <c r="F388" s="15"/>
      <c r="G388" s="8" t="str">
        <f aca="false">IF(AND(E388="",F388=""),"",SUM($E$5:E388)-SUM($F$5:F388))</f>
        <v/>
      </c>
    </row>
    <row r="389" customFormat="false" ht="15" hidden="false" customHeight="false" outlineLevel="0" collapsed="false">
      <c r="A389" s="19"/>
      <c r="B389" s="18"/>
      <c r="C389" s="18"/>
      <c r="D389" s="18"/>
      <c r="E389" s="15"/>
      <c r="F389" s="15"/>
      <c r="G389" s="8" t="str">
        <f aca="false">IF(AND(E389="",F389=""),"",SUM($E$5:E389)-SUM($F$5:F389))</f>
        <v/>
      </c>
    </row>
    <row r="390" customFormat="false" ht="15" hidden="false" customHeight="false" outlineLevel="0" collapsed="false">
      <c r="A390" s="19"/>
      <c r="B390" s="18"/>
      <c r="C390" s="18"/>
      <c r="D390" s="18"/>
      <c r="E390" s="15"/>
      <c r="F390" s="15"/>
      <c r="G390" s="8" t="str">
        <f aca="false">IF(AND(E390="",F390=""),"",SUM($E$5:E390)-SUM($F$5:F390))</f>
        <v/>
      </c>
    </row>
    <row r="391" customFormat="false" ht="15" hidden="false" customHeight="false" outlineLevel="0" collapsed="false">
      <c r="A391" s="19"/>
      <c r="B391" s="18"/>
      <c r="C391" s="18"/>
      <c r="D391" s="18"/>
      <c r="E391" s="15"/>
      <c r="F391" s="15"/>
      <c r="G391" s="8" t="str">
        <f aca="false">IF(AND(E391="",F391=""),"",SUM($E$5:E391)-SUM($F$5:F391))</f>
        <v/>
      </c>
    </row>
    <row r="392" customFormat="false" ht="15" hidden="false" customHeight="false" outlineLevel="0" collapsed="false">
      <c r="A392" s="19"/>
      <c r="B392" s="18"/>
      <c r="C392" s="18"/>
      <c r="D392" s="18"/>
      <c r="E392" s="15"/>
      <c r="F392" s="15"/>
      <c r="G392" s="8" t="str">
        <f aca="false">IF(AND(E392="",F392=""),"",SUM($E$5:E392)-SUM($F$5:F392))</f>
        <v/>
      </c>
    </row>
    <row r="393" customFormat="false" ht="15" hidden="false" customHeight="false" outlineLevel="0" collapsed="false">
      <c r="A393" s="19"/>
      <c r="B393" s="18"/>
      <c r="C393" s="18"/>
      <c r="D393" s="18"/>
      <c r="E393" s="15"/>
      <c r="F393" s="15"/>
      <c r="G393" s="8" t="str">
        <f aca="false">IF(AND(E393="",F393=""),"",SUM($E$5:E393)-SUM($F$5:F393))</f>
        <v/>
      </c>
    </row>
    <row r="394" customFormat="false" ht="15" hidden="false" customHeight="false" outlineLevel="0" collapsed="false">
      <c r="A394" s="19"/>
      <c r="B394" s="18"/>
      <c r="C394" s="18"/>
      <c r="D394" s="18"/>
      <c r="E394" s="15"/>
      <c r="F394" s="15"/>
      <c r="G394" s="8" t="str">
        <f aca="false">IF(AND(E394="",F394=""),"",SUM($E$5:E394)-SUM($F$5:F394))</f>
        <v/>
      </c>
    </row>
    <row r="395" customFormat="false" ht="15" hidden="false" customHeight="false" outlineLevel="0" collapsed="false">
      <c r="A395" s="19"/>
      <c r="B395" s="18"/>
      <c r="C395" s="18"/>
      <c r="D395" s="18"/>
      <c r="E395" s="15"/>
      <c r="F395" s="15"/>
      <c r="G395" s="8" t="str">
        <f aca="false">IF(AND(E395="",F395=""),"",SUM($E$5:E395)-SUM($F$5:F395))</f>
        <v/>
      </c>
    </row>
    <row r="396" customFormat="false" ht="15" hidden="false" customHeight="false" outlineLevel="0" collapsed="false">
      <c r="A396" s="19"/>
      <c r="B396" s="18"/>
      <c r="C396" s="18"/>
      <c r="D396" s="18"/>
      <c r="E396" s="15"/>
      <c r="F396" s="15"/>
      <c r="G396" s="8" t="str">
        <f aca="false">IF(AND(E396="",F396=""),"",SUM($E$5:E396)-SUM($F$5:F396))</f>
        <v/>
      </c>
    </row>
    <row r="397" customFormat="false" ht="15" hidden="false" customHeight="false" outlineLevel="0" collapsed="false">
      <c r="A397" s="19"/>
      <c r="B397" s="18"/>
      <c r="C397" s="18"/>
      <c r="D397" s="18"/>
      <c r="E397" s="15"/>
      <c r="F397" s="15"/>
      <c r="G397" s="8" t="str">
        <f aca="false">IF(AND(E397="",F397=""),"",SUM($E$5:E397)-SUM($F$5:F397))</f>
        <v/>
      </c>
    </row>
    <row r="398" customFormat="false" ht="15" hidden="false" customHeight="false" outlineLevel="0" collapsed="false">
      <c r="A398" s="19"/>
      <c r="B398" s="18"/>
      <c r="C398" s="18"/>
      <c r="D398" s="18"/>
      <c r="E398" s="15"/>
      <c r="F398" s="15"/>
      <c r="G398" s="8" t="str">
        <f aca="false">IF(AND(E398="",F398=""),"",SUM($E$5:E398)-SUM($F$5:F398))</f>
        <v/>
      </c>
    </row>
    <row r="399" customFormat="false" ht="15" hidden="false" customHeight="false" outlineLevel="0" collapsed="false">
      <c r="A399" s="19"/>
      <c r="B399" s="18"/>
      <c r="C399" s="18"/>
      <c r="D399" s="18"/>
      <c r="E399" s="15"/>
      <c r="F399" s="15"/>
      <c r="G399" s="8" t="str">
        <f aca="false">IF(AND(E399="",F399=""),"",SUM($E$5:E399)-SUM($F$5:F399))</f>
        <v/>
      </c>
    </row>
    <row r="400" customFormat="false" ht="15" hidden="false" customHeight="false" outlineLevel="0" collapsed="false">
      <c r="A400" s="19"/>
      <c r="B400" s="18"/>
      <c r="C400" s="18"/>
      <c r="D400" s="18"/>
      <c r="E400" s="15"/>
      <c r="F400" s="15"/>
      <c r="G400" s="8" t="str">
        <f aca="false">IF(AND(E400="",F400=""),"",SUM($E$5:E400)-SUM($F$5:F400))</f>
        <v/>
      </c>
    </row>
    <row r="401" customFormat="false" ht="15" hidden="false" customHeight="false" outlineLevel="0" collapsed="false">
      <c r="A401" s="19"/>
      <c r="B401" s="18"/>
      <c r="C401" s="18"/>
      <c r="D401" s="18"/>
      <c r="E401" s="15"/>
      <c r="F401" s="15"/>
      <c r="G401" s="8" t="str">
        <f aca="false">IF(AND(E401="",F401=""),"",SUM($E$5:E401)-SUM($F$5:F401))</f>
        <v/>
      </c>
    </row>
    <row r="402" customFormat="false" ht="15" hidden="false" customHeight="false" outlineLevel="0" collapsed="false">
      <c r="A402" s="19"/>
      <c r="B402" s="18"/>
      <c r="C402" s="18"/>
      <c r="D402" s="18"/>
      <c r="E402" s="15"/>
      <c r="F402" s="15"/>
      <c r="G402" s="8" t="str">
        <f aca="false">IF(AND(E402="",F402=""),"",SUM($E$5:E402)-SUM($F$5:F402))</f>
        <v/>
      </c>
    </row>
    <row r="403" customFormat="false" ht="15" hidden="false" customHeight="false" outlineLevel="0" collapsed="false">
      <c r="A403" s="19"/>
      <c r="B403" s="18"/>
      <c r="C403" s="18"/>
      <c r="D403" s="18"/>
      <c r="E403" s="15"/>
      <c r="F403" s="15"/>
      <c r="G403" s="8" t="str">
        <f aca="false">IF(AND(E403="",F403=""),"",SUM($E$5:E403)-SUM($F$5:F403))</f>
        <v/>
      </c>
    </row>
    <row r="404" customFormat="false" ht="15" hidden="false" customHeight="false" outlineLevel="0" collapsed="false">
      <c r="A404" s="19"/>
      <c r="B404" s="18"/>
      <c r="C404" s="18"/>
      <c r="D404" s="18"/>
      <c r="E404" s="15"/>
      <c r="F404" s="15"/>
      <c r="G404" s="8" t="str">
        <f aca="false">IF(AND(E404="",F404=""),"",SUM($E$5:E404)-SUM($F$5:F404))</f>
        <v/>
      </c>
    </row>
    <row r="405" customFormat="false" ht="15" hidden="false" customHeight="false" outlineLevel="0" collapsed="false">
      <c r="A405" s="19"/>
      <c r="B405" s="18"/>
      <c r="C405" s="18"/>
      <c r="D405" s="18"/>
      <c r="E405" s="15"/>
      <c r="F405" s="15"/>
      <c r="G405" s="8" t="str">
        <f aca="false">IF(AND(E405="",F405=""),"",SUM($E$5:E405)-SUM($F$5:F405))</f>
        <v/>
      </c>
    </row>
    <row r="406" customFormat="false" ht="15" hidden="false" customHeight="false" outlineLevel="0" collapsed="false">
      <c r="A406" s="19"/>
      <c r="B406" s="18"/>
      <c r="C406" s="18"/>
      <c r="D406" s="18"/>
      <c r="E406" s="15"/>
      <c r="F406" s="15"/>
      <c r="G406" s="8" t="str">
        <f aca="false">IF(AND(E406="",F406=""),"",SUM($E$5:E406)-SUM($F$5:F406))</f>
        <v/>
      </c>
    </row>
    <row r="407" customFormat="false" ht="15" hidden="false" customHeight="false" outlineLevel="0" collapsed="false">
      <c r="A407" s="19"/>
      <c r="B407" s="18"/>
      <c r="C407" s="18"/>
      <c r="D407" s="18"/>
      <c r="E407" s="15"/>
      <c r="F407" s="15"/>
      <c r="G407" s="8" t="str">
        <f aca="false">IF(AND(E407="",F407=""),"",SUM($E$5:E407)-SUM($F$5:F407))</f>
        <v/>
      </c>
    </row>
    <row r="408" customFormat="false" ht="15" hidden="false" customHeight="false" outlineLevel="0" collapsed="false">
      <c r="A408" s="19"/>
      <c r="B408" s="18"/>
      <c r="C408" s="18"/>
      <c r="D408" s="18"/>
      <c r="E408" s="15"/>
      <c r="F408" s="15"/>
      <c r="G408" s="8" t="str">
        <f aca="false">IF(AND(E408="",F408=""),"",SUM($E$5:E408)-SUM($F$5:F408))</f>
        <v/>
      </c>
    </row>
    <row r="409" customFormat="false" ht="15" hidden="false" customHeight="false" outlineLevel="0" collapsed="false">
      <c r="A409" s="19"/>
      <c r="B409" s="18"/>
      <c r="C409" s="18"/>
      <c r="D409" s="18"/>
      <c r="E409" s="15"/>
      <c r="F409" s="15"/>
      <c r="G409" s="8" t="str">
        <f aca="false">IF(AND(E409="",F409=""),"",SUM($E$5:E409)-SUM($F$5:F409))</f>
        <v/>
      </c>
    </row>
    <row r="410" customFormat="false" ht="15" hidden="false" customHeight="false" outlineLevel="0" collapsed="false">
      <c r="A410" s="19"/>
      <c r="B410" s="18"/>
      <c r="C410" s="18"/>
      <c r="D410" s="18"/>
      <c r="E410" s="15"/>
      <c r="F410" s="15"/>
      <c r="G410" s="8" t="str">
        <f aca="false">IF(AND(E410="",F410=""),"",SUM($E$5:E410)-SUM($F$5:F410))</f>
        <v/>
      </c>
    </row>
    <row r="411" customFormat="false" ht="15" hidden="false" customHeight="false" outlineLevel="0" collapsed="false">
      <c r="A411" s="19"/>
      <c r="B411" s="18"/>
      <c r="C411" s="18"/>
      <c r="D411" s="18"/>
      <c r="E411" s="15"/>
      <c r="F411" s="15"/>
      <c r="G411" s="8" t="str">
        <f aca="false">IF(AND(E411="",F411=""),"",SUM($E$5:E411)-SUM($F$5:F411))</f>
        <v/>
      </c>
    </row>
    <row r="412" customFormat="false" ht="15" hidden="false" customHeight="false" outlineLevel="0" collapsed="false">
      <c r="A412" s="19"/>
      <c r="B412" s="18"/>
      <c r="C412" s="18"/>
      <c r="D412" s="18"/>
      <c r="E412" s="15"/>
      <c r="F412" s="15"/>
      <c r="G412" s="8" t="str">
        <f aca="false">IF(AND(E412="",F412=""),"",SUM($E$5:E412)-SUM($F$5:F412))</f>
        <v/>
      </c>
    </row>
    <row r="413" customFormat="false" ht="15" hidden="false" customHeight="false" outlineLevel="0" collapsed="false">
      <c r="A413" s="19"/>
      <c r="B413" s="18"/>
      <c r="C413" s="18"/>
      <c r="D413" s="18"/>
      <c r="E413" s="15"/>
      <c r="F413" s="15"/>
      <c r="G413" s="8" t="str">
        <f aca="false">IF(AND(E413="",F413=""),"",SUM($E$5:E413)-SUM($F$5:F413))</f>
        <v/>
      </c>
    </row>
    <row r="414" customFormat="false" ht="15" hidden="false" customHeight="false" outlineLevel="0" collapsed="false">
      <c r="A414" s="19"/>
      <c r="B414" s="18"/>
      <c r="C414" s="18"/>
      <c r="D414" s="18"/>
      <c r="E414" s="15"/>
      <c r="F414" s="15"/>
      <c r="G414" s="8" t="str">
        <f aca="false">IF(AND(E414="",F414=""),"",SUM($E$5:E414)-SUM($F$5:F414))</f>
        <v/>
      </c>
    </row>
    <row r="415" customFormat="false" ht="15" hidden="false" customHeight="false" outlineLevel="0" collapsed="false">
      <c r="A415" s="19"/>
      <c r="B415" s="18"/>
      <c r="C415" s="18"/>
      <c r="D415" s="18"/>
      <c r="E415" s="15"/>
      <c r="F415" s="15"/>
      <c r="G415" s="8" t="str">
        <f aca="false">IF(AND(E415="",F415=""),"",SUM($E$5:E415)-SUM($F$5:F415))</f>
        <v/>
      </c>
    </row>
    <row r="416" customFormat="false" ht="15" hidden="false" customHeight="false" outlineLevel="0" collapsed="false">
      <c r="A416" s="19"/>
      <c r="B416" s="18"/>
      <c r="C416" s="18"/>
      <c r="D416" s="18"/>
      <c r="E416" s="15"/>
      <c r="F416" s="15"/>
      <c r="G416" s="8" t="str">
        <f aca="false">IF(AND(E416="",F416=""),"",SUM($E$5:E416)-SUM($F$5:F416))</f>
        <v/>
      </c>
    </row>
    <row r="417" customFormat="false" ht="15" hidden="false" customHeight="false" outlineLevel="0" collapsed="false">
      <c r="A417" s="19"/>
      <c r="B417" s="18"/>
      <c r="C417" s="18"/>
      <c r="D417" s="18"/>
      <c r="E417" s="15"/>
      <c r="F417" s="15"/>
      <c r="G417" s="8" t="str">
        <f aca="false">IF(AND(E417="",F417=""),"",SUM($E$5:E417)-SUM($F$5:F417))</f>
        <v/>
      </c>
    </row>
    <row r="418" customFormat="false" ht="15" hidden="false" customHeight="false" outlineLevel="0" collapsed="false">
      <c r="A418" s="19"/>
      <c r="B418" s="18"/>
      <c r="C418" s="18"/>
      <c r="D418" s="18"/>
      <c r="E418" s="15"/>
      <c r="F418" s="15"/>
      <c r="G418" s="8" t="str">
        <f aca="false">IF(AND(E418="",F418=""),"",SUM($E$5:E418)-SUM($F$5:F418))</f>
        <v/>
      </c>
    </row>
    <row r="419" customFormat="false" ht="15" hidden="false" customHeight="false" outlineLevel="0" collapsed="false">
      <c r="A419" s="19"/>
      <c r="B419" s="18"/>
      <c r="C419" s="18"/>
      <c r="D419" s="18"/>
      <c r="E419" s="15"/>
      <c r="F419" s="15"/>
      <c r="G419" s="8" t="str">
        <f aca="false">IF(AND(E419="",F419=""),"",SUM($E$5:E419)-SUM($F$5:F419))</f>
        <v/>
      </c>
    </row>
    <row r="420" customFormat="false" ht="15" hidden="false" customHeight="false" outlineLevel="0" collapsed="false">
      <c r="A420" s="19"/>
      <c r="B420" s="18"/>
      <c r="C420" s="18"/>
      <c r="D420" s="18"/>
      <c r="E420" s="15"/>
      <c r="F420" s="15"/>
      <c r="G420" s="8" t="str">
        <f aca="false">IF(AND(E420="",F420=""),"",SUM($E$5:E420)-SUM($F$5:F420))</f>
        <v/>
      </c>
    </row>
    <row r="421" customFormat="false" ht="15" hidden="false" customHeight="false" outlineLevel="0" collapsed="false">
      <c r="A421" s="19"/>
      <c r="B421" s="18"/>
      <c r="C421" s="18"/>
      <c r="D421" s="18"/>
      <c r="E421" s="15"/>
      <c r="F421" s="15"/>
      <c r="G421" s="8" t="str">
        <f aca="false">IF(AND(E421="",F421=""),"",SUM($E$5:E421)-SUM($F$5:F421))</f>
        <v/>
      </c>
    </row>
    <row r="422" customFormat="false" ht="15" hidden="false" customHeight="false" outlineLevel="0" collapsed="false">
      <c r="A422" s="19"/>
      <c r="B422" s="18"/>
      <c r="C422" s="18"/>
      <c r="D422" s="18"/>
      <c r="E422" s="15"/>
      <c r="F422" s="15"/>
      <c r="G422" s="8" t="str">
        <f aca="false">IF(AND(E422="",F422=""),"",SUM($E$5:E422)-SUM($F$5:F422))</f>
        <v/>
      </c>
    </row>
    <row r="423" customFormat="false" ht="15" hidden="false" customHeight="false" outlineLevel="0" collapsed="false">
      <c r="A423" s="19"/>
      <c r="B423" s="18"/>
      <c r="C423" s="18"/>
      <c r="D423" s="18"/>
      <c r="E423" s="15"/>
      <c r="F423" s="15"/>
      <c r="G423" s="8" t="str">
        <f aca="false">IF(AND(E423="",F423=""),"",SUM($E$5:E423)-SUM($F$5:F423))</f>
        <v/>
      </c>
    </row>
    <row r="424" customFormat="false" ht="15" hidden="false" customHeight="false" outlineLevel="0" collapsed="false">
      <c r="A424" s="19"/>
      <c r="B424" s="18"/>
      <c r="C424" s="18"/>
      <c r="D424" s="18"/>
      <c r="E424" s="15"/>
      <c r="F424" s="15"/>
      <c r="G424" s="8" t="str">
        <f aca="false">IF(AND(E424="",F424=""),"",SUM($E$5:E424)-SUM($F$5:F424))</f>
        <v/>
      </c>
    </row>
    <row r="425" customFormat="false" ht="15" hidden="false" customHeight="false" outlineLevel="0" collapsed="false">
      <c r="A425" s="19"/>
      <c r="B425" s="18"/>
      <c r="C425" s="18"/>
      <c r="D425" s="18"/>
      <c r="E425" s="15"/>
      <c r="F425" s="15"/>
      <c r="G425" s="8" t="str">
        <f aca="false">IF(AND(E425="",F425=""),"",SUM($E$5:E425)-SUM($F$5:F425))</f>
        <v/>
      </c>
    </row>
    <row r="426" customFormat="false" ht="15" hidden="false" customHeight="false" outlineLevel="0" collapsed="false">
      <c r="A426" s="19"/>
      <c r="B426" s="18"/>
      <c r="C426" s="18"/>
      <c r="D426" s="18"/>
      <c r="E426" s="15"/>
      <c r="F426" s="15"/>
      <c r="G426" s="8" t="str">
        <f aca="false">IF(AND(E426="",F426=""),"",SUM($E$5:E426)-SUM($F$5:F426))</f>
        <v/>
      </c>
    </row>
    <row r="427" customFormat="false" ht="15" hidden="false" customHeight="false" outlineLevel="0" collapsed="false">
      <c r="A427" s="19"/>
      <c r="B427" s="18"/>
      <c r="C427" s="18"/>
      <c r="D427" s="18"/>
      <c r="E427" s="15"/>
      <c r="F427" s="15"/>
      <c r="G427" s="8" t="str">
        <f aca="false">IF(AND(E427="",F427=""),"",SUM($E$5:E427)-SUM($F$5:F427))</f>
        <v/>
      </c>
    </row>
    <row r="428" customFormat="false" ht="15" hidden="false" customHeight="false" outlineLevel="0" collapsed="false">
      <c r="A428" s="19"/>
      <c r="B428" s="18"/>
      <c r="C428" s="18"/>
      <c r="D428" s="18"/>
      <c r="E428" s="15"/>
      <c r="F428" s="15"/>
      <c r="G428" s="8" t="str">
        <f aca="false">IF(AND(E428="",F428=""),"",SUM($E$5:E428)-SUM($F$5:F428))</f>
        <v/>
      </c>
    </row>
    <row r="429" customFormat="false" ht="15" hidden="false" customHeight="false" outlineLevel="0" collapsed="false">
      <c r="A429" s="19"/>
      <c r="B429" s="18"/>
      <c r="C429" s="18"/>
      <c r="D429" s="18"/>
      <c r="E429" s="15"/>
      <c r="F429" s="15"/>
      <c r="G429" s="8" t="str">
        <f aca="false">IF(AND(E429="",F429=""),"",SUM($E$5:E429)-SUM($F$5:F429))</f>
        <v/>
      </c>
    </row>
    <row r="430" customFormat="false" ht="15" hidden="false" customHeight="false" outlineLevel="0" collapsed="false">
      <c r="A430" s="19"/>
      <c r="B430" s="18"/>
      <c r="C430" s="18"/>
      <c r="D430" s="18"/>
      <c r="E430" s="15"/>
      <c r="F430" s="15"/>
      <c r="G430" s="8" t="str">
        <f aca="false">IF(AND(E430="",F430=""),"",SUM($E$5:E430)-SUM($F$5:F430))</f>
        <v/>
      </c>
    </row>
    <row r="431" customFormat="false" ht="15" hidden="false" customHeight="false" outlineLevel="0" collapsed="false">
      <c r="A431" s="19"/>
      <c r="B431" s="18"/>
      <c r="C431" s="18"/>
      <c r="D431" s="18"/>
      <c r="E431" s="15"/>
      <c r="F431" s="15"/>
      <c r="G431" s="8" t="str">
        <f aca="false">IF(AND(E431="",F431=""),"",SUM($E$5:E431)-SUM($F$5:F431))</f>
        <v/>
      </c>
    </row>
    <row r="432" customFormat="false" ht="15" hidden="false" customHeight="false" outlineLevel="0" collapsed="false">
      <c r="A432" s="19"/>
      <c r="B432" s="18"/>
      <c r="C432" s="18"/>
      <c r="D432" s="18"/>
      <c r="E432" s="15"/>
      <c r="F432" s="15"/>
      <c r="G432" s="8" t="str">
        <f aca="false">IF(AND(E432="",F432=""),"",SUM($E$5:E432)-SUM($F$5:F432))</f>
        <v/>
      </c>
    </row>
    <row r="433" customFormat="false" ht="15" hidden="false" customHeight="false" outlineLevel="0" collapsed="false">
      <c r="A433" s="19"/>
      <c r="B433" s="18"/>
      <c r="C433" s="18"/>
      <c r="D433" s="18"/>
      <c r="E433" s="15"/>
      <c r="F433" s="15"/>
      <c r="G433" s="8" t="str">
        <f aca="false">IF(AND(E433="",F433=""),"",SUM($E$5:E433)-SUM($F$5:F433))</f>
        <v/>
      </c>
    </row>
    <row r="434" customFormat="false" ht="15" hidden="false" customHeight="false" outlineLevel="0" collapsed="false">
      <c r="A434" s="19"/>
      <c r="B434" s="18"/>
      <c r="C434" s="18"/>
      <c r="D434" s="18"/>
      <c r="E434" s="15"/>
      <c r="F434" s="15"/>
      <c r="G434" s="8" t="str">
        <f aca="false">IF(AND(E434="",F434=""),"",SUM($E$5:E434)-SUM($F$5:F434))</f>
        <v/>
      </c>
    </row>
    <row r="435" customFormat="false" ht="15" hidden="false" customHeight="false" outlineLevel="0" collapsed="false">
      <c r="A435" s="19"/>
      <c r="B435" s="18"/>
      <c r="C435" s="18"/>
      <c r="D435" s="18"/>
      <c r="E435" s="15"/>
      <c r="F435" s="15"/>
      <c r="G435" s="8" t="str">
        <f aca="false">IF(AND(E435="",F435=""),"",SUM($E$5:E435)-SUM($F$5:F435))</f>
        <v/>
      </c>
    </row>
    <row r="436" customFormat="false" ht="15" hidden="false" customHeight="false" outlineLevel="0" collapsed="false">
      <c r="A436" s="19"/>
      <c r="B436" s="18"/>
      <c r="C436" s="18"/>
      <c r="D436" s="18"/>
      <c r="E436" s="15"/>
      <c r="F436" s="15"/>
      <c r="G436" s="8" t="str">
        <f aca="false">IF(AND(E436="",F436=""),"",SUM($E$5:E436)-SUM($F$5:F436))</f>
        <v/>
      </c>
    </row>
    <row r="437" customFormat="false" ht="15" hidden="false" customHeight="false" outlineLevel="0" collapsed="false">
      <c r="A437" s="19"/>
      <c r="B437" s="18"/>
      <c r="C437" s="18"/>
      <c r="D437" s="18"/>
      <c r="E437" s="15"/>
      <c r="F437" s="15"/>
      <c r="G437" s="8" t="str">
        <f aca="false">IF(AND(E437="",F437=""),"",SUM($E$5:E437)-SUM($F$5:F437))</f>
        <v/>
      </c>
    </row>
    <row r="438" customFormat="false" ht="15" hidden="false" customHeight="false" outlineLevel="0" collapsed="false">
      <c r="A438" s="19"/>
      <c r="B438" s="18"/>
      <c r="C438" s="18"/>
      <c r="D438" s="18"/>
      <c r="E438" s="15"/>
      <c r="F438" s="15"/>
      <c r="G438" s="8" t="str">
        <f aca="false">IF(AND(E438="",F438=""),"",SUM($E$5:E438)-SUM($F$5:F438))</f>
        <v/>
      </c>
    </row>
    <row r="439" customFormat="false" ht="15" hidden="false" customHeight="false" outlineLevel="0" collapsed="false">
      <c r="A439" s="19"/>
      <c r="B439" s="18"/>
      <c r="C439" s="18"/>
      <c r="D439" s="18"/>
      <c r="E439" s="15"/>
      <c r="F439" s="15"/>
      <c r="G439" s="8" t="str">
        <f aca="false">IF(AND(E439="",F439=""),"",SUM($E$5:E439)-SUM($F$5:F439))</f>
        <v/>
      </c>
    </row>
    <row r="440" customFormat="false" ht="15" hidden="false" customHeight="false" outlineLevel="0" collapsed="false">
      <c r="A440" s="19"/>
      <c r="B440" s="18"/>
      <c r="C440" s="18"/>
      <c r="D440" s="18"/>
      <c r="E440" s="15"/>
      <c r="F440" s="15"/>
      <c r="G440" s="8" t="str">
        <f aca="false">IF(AND(E440="",F440=""),"",SUM($E$5:E440)-SUM($F$5:F440))</f>
        <v/>
      </c>
    </row>
    <row r="441" customFormat="false" ht="15" hidden="false" customHeight="false" outlineLevel="0" collapsed="false">
      <c r="A441" s="19"/>
      <c r="B441" s="18"/>
      <c r="C441" s="18"/>
      <c r="D441" s="18"/>
      <c r="E441" s="15"/>
      <c r="F441" s="15"/>
      <c r="G441" s="8" t="str">
        <f aca="false">IF(AND(E441="",F441=""),"",SUM($E$5:E441)-SUM($F$5:F441))</f>
        <v/>
      </c>
    </row>
    <row r="442" customFormat="false" ht="15" hidden="false" customHeight="false" outlineLevel="0" collapsed="false">
      <c r="A442" s="19"/>
      <c r="B442" s="18"/>
      <c r="C442" s="18"/>
      <c r="D442" s="18"/>
      <c r="E442" s="15"/>
      <c r="F442" s="15"/>
      <c r="G442" s="8" t="str">
        <f aca="false">IF(AND(E442="",F442=""),"",SUM($E$5:E442)-SUM($F$5:F442))</f>
        <v/>
      </c>
    </row>
    <row r="443" customFormat="false" ht="15" hidden="false" customHeight="false" outlineLevel="0" collapsed="false">
      <c r="A443" s="19"/>
      <c r="B443" s="18"/>
      <c r="C443" s="18"/>
      <c r="D443" s="18"/>
      <c r="E443" s="15"/>
      <c r="F443" s="15"/>
      <c r="G443" s="8" t="str">
        <f aca="false">IF(AND(E443="",F443=""),"",SUM($E$5:E443)-SUM($F$5:F443))</f>
        <v/>
      </c>
    </row>
    <row r="444" customFormat="false" ht="15" hidden="false" customHeight="false" outlineLevel="0" collapsed="false">
      <c r="A444" s="19"/>
      <c r="B444" s="18"/>
      <c r="C444" s="18"/>
      <c r="D444" s="18"/>
      <c r="E444" s="15"/>
      <c r="F444" s="15"/>
      <c r="G444" s="8" t="str">
        <f aca="false">IF(AND(E444="",F444=""),"",SUM($E$5:E444)-SUM($F$5:F444))</f>
        <v/>
      </c>
    </row>
    <row r="445" customFormat="false" ht="15" hidden="false" customHeight="false" outlineLevel="0" collapsed="false">
      <c r="A445" s="19"/>
      <c r="B445" s="18"/>
      <c r="C445" s="18"/>
      <c r="D445" s="18"/>
      <c r="E445" s="15"/>
      <c r="F445" s="15"/>
      <c r="G445" s="8" t="str">
        <f aca="false">IF(AND(E445="",F445=""),"",SUM($E$5:E445)-SUM($F$5:F445))</f>
        <v/>
      </c>
    </row>
    <row r="446" customFormat="false" ht="15" hidden="false" customHeight="false" outlineLevel="0" collapsed="false">
      <c r="A446" s="19"/>
      <c r="B446" s="18"/>
      <c r="C446" s="18"/>
      <c r="D446" s="18"/>
      <c r="E446" s="15"/>
      <c r="F446" s="15"/>
      <c r="G446" s="8" t="str">
        <f aca="false">IF(AND(E446="",F446=""),"",SUM($E$5:E446)-SUM($F$5:F446))</f>
        <v/>
      </c>
    </row>
    <row r="447" customFormat="false" ht="15" hidden="false" customHeight="false" outlineLevel="0" collapsed="false">
      <c r="A447" s="19"/>
      <c r="B447" s="18"/>
      <c r="C447" s="18"/>
      <c r="D447" s="18"/>
      <c r="E447" s="15"/>
      <c r="F447" s="15"/>
      <c r="G447" s="8" t="str">
        <f aca="false">IF(AND(E447="",F447=""),"",SUM($E$5:E447)-SUM($F$5:F447))</f>
        <v/>
      </c>
    </row>
    <row r="448" customFormat="false" ht="15" hidden="false" customHeight="false" outlineLevel="0" collapsed="false">
      <c r="A448" s="19"/>
      <c r="B448" s="18"/>
      <c r="C448" s="18"/>
      <c r="D448" s="18"/>
      <c r="E448" s="15"/>
      <c r="F448" s="15"/>
      <c r="G448" s="8" t="str">
        <f aca="false">IF(AND(E448="",F448=""),"",SUM($E$5:E448)-SUM($F$5:F448))</f>
        <v/>
      </c>
    </row>
    <row r="449" customFormat="false" ht="15" hidden="false" customHeight="false" outlineLevel="0" collapsed="false">
      <c r="A449" s="19"/>
      <c r="B449" s="18"/>
      <c r="C449" s="18"/>
      <c r="D449" s="18"/>
      <c r="E449" s="15"/>
      <c r="F449" s="15"/>
      <c r="G449" s="8" t="str">
        <f aca="false">IF(AND(E449="",F449=""),"",SUM($E$5:E449)-SUM($F$5:F449))</f>
        <v/>
      </c>
    </row>
    <row r="450" customFormat="false" ht="15" hidden="false" customHeight="false" outlineLevel="0" collapsed="false">
      <c r="A450" s="19"/>
      <c r="B450" s="18"/>
      <c r="C450" s="18"/>
      <c r="D450" s="18"/>
      <c r="E450" s="15"/>
      <c r="F450" s="15"/>
      <c r="G450" s="8" t="str">
        <f aca="false">IF(AND(E450="",F450=""),"",SUM($E$5:E450)-SUM($F$5:F450))</f>
        <v/>
      </c>
    </row>
    <row r="451" customFormat="false" ht="15" hidden="false" customHeight="false" outlineLevel="0" collapsed="false">
      <c r="A451" s="19"/>
      <c r="B451" s="18"/>
      <c r="C451" s="18"/>
      <c r="D451" s="18"/>
      <c r="E451" s="15"/>
      <c r="F451" s="15"/>
      <c r="G451" s="8" t="str">
        <f aca="false">IF(AND(E451="",F451=""),"",SUM($E$5:E451)-SUM($F$5:F451))</f>
        <v/>
      </c>
    </row>
    <row r="452" customFormat="false" ht="15" hidden="false" customHeight="false" outlineLevel="0" collapsed="false">
      <c r="A452" s="19"/>
      <c r="B452" s="18"/>
      <c r="C452" s="18"/>
      <c r="D452" s="18"/>
      <c r="E452" s="15"/>
      <c r="F452" s="15"/>
      <c r="G452" s="8" t="str">
        <f aca="false">IF(AND(E452="",F452=""),"",SUM($E$5:E452)-SUM($F$5:F452))</f>
        <v/>
      </c>
    </row>
    <row r="453" customFormat="false" ht="15" hidden="false" customHeight="false" outlineLevel="0" collapsed="false">
      <c r="A453" s="19"/>
      <c r="B453" s="18"/>
      <c r="C453" s="18"/>
      <c r="D453" s="18"/>
      <c r="E453" s="15"/>
      <c r="F453" s="15"/>
      <c r="G453" s="8" t="str">
        <f aca="false">IF(AND(E453="",F453=""),"",SUM($E$5:E453)-SUM($F$5:F453))</f>
        <v/>
      </c>
    </row>
    <row r="454" customFormat="false" ht="15" hidden="false" customHeight="false" outlineLevel="0" collapsed="false">
      <c r="A454" s="19"/>
      <c r="B454" s="18"/>
      <c r="C454" s="18"/>
      <c r="D454" s="18"/>
      <c r="E454" s="15"/>
      <c r="F454" s="15"/>
      <c r="G454" s="8" t="str">
        <f aca="false">IF(AND(E454="",F454=""),"",SUM($E$5:E454)-SUM($F$5:F454))</f>
        <v/>
      </c>
    </row>
    <row r="455" customFormat="false" ht="15" hidden="false" customHeight="false" outlineLevel="0" collapsed="false">
      <c r="A455" s="19"/>
      <c r="B455" s="18"/>
      <c r="C455" s="18"/>
      <c r="D455" s="18"/>
      <c r="E455" s="15"/>
      <c r="F455" s="15"/>
      <c r="G455" s="8" t="str">
        <f aca="false">IF(AND(E455="",F455=""),"",SUM($E$5:E455)-SUM($F$5:F455))</f>
        <v/>
      </c>
    </row>
    <row r="456" customFormat="false" ht="15" hidden="false" customHeight="false" outlineLevel="0" collapsed="false">
      <c r="A456" s="19"/>
      <c r="B456" s="18"/>
      <c r="C456" s="18"/>
      <c r="D456" s="18"/>
      <c r="E456" s="15"/>
      <c r="F456" s="15"/>
      <c r="G456" s="8" t="str">
        <f aca="false">IF(AND(E456="",F456=""),"",SUM($E$5:E456)-SUM($F$5:F456))</f>
        <v/>
      </c>
    </row>
    <row r="457" customFormat="false" ht="15" hidden="false" customHeight="false" outlineLevel="0" collapsed="false">
      <c r="A457" s="19"/>
      <c r="B457" s="18"/>
      <c r="C457" s="18"/>
      <c r="D457" s="18"/>
      <c r="E457" s="15"/>
      <c r="F457" s="15"/>
      <c r="G457" s="8" t="str">
        <f aca="false">IF(AND(E457="",F457=""),"",SUM($E$5:E457)-SUM($F$5:F457))</f>
        <v/>
      </c>
    </row>
    <row r="458" customFormat="false" ht="15" hidden="false" customHeight="false" outlineLevel="0" collapsed="false">
      <c r="A458" s="19"/>
      <c r="B458" s="18"/>
      <c r="C458" s="18"/>
      <c r="D458" s="18"/>
      <c r="E458" s="15"/>
      <c r="F458" s="15"/>
      <c r="G458" s="8" t="str">
        <f aca="false">IF(AND(E458="",F458=""),"",SUM($E$5:E458)-SUM($F$5:F458))</f>
        <v/>
      </c>
    </row>
    <row r="459" customFormat="false" ht="15" hidden="false" customHeight="false" outlineLevel="0" collapsed="false">
      <c r="A459" s="19"/>
      <c r="B459" s="18"/>
      <c r="C459" s="18"/>
      <c r="D459" s="18"/>
      <c r="E459" s="15"/>
      <c r="F459" s="15"/>
      <c r="G459" s="8" t="str">
        <f aca="false">IF(AND(E459="",F459=""),"",SUM($E$5:E459)-SUM($F$5:F459))</f>
        <v/>
      </c>
    </row>
    <row r="460" customFormat="false" ht="15" hidden="false" customHeight="false" outlineLevel="0" collapsed="false">
      <c r="A460" s="19"/>
      <c r="B460" s="18"/>
      <c r="C460" s="18"/>
      <c r="D460" s="18"/>
      <c r="E460" s="15"/>
      <c r="F460" s="15"/>
      <c r="G460" s="8" t="str">
        <f aca="false">IF(AND(E460="",F460=""),"",SUM($E$5:E460)-SUM($F$5:F460))</f>
        <v/>
      </c>
    </row>
    <row r="461" customFormat="false" ht="15" hidden="false" customHeight="false" outlineLevel="0" collapsed="false">
      <c r="A461" s="19"/>
      <c r="B461" s="18"/>
      <c r="C461" s="18"/>
      <c r="D461" s="18"/>
      <c r="E461" s="15"/>
      <c r="F461" s="15"/>
      <c r="G461" s="8" t="str">
        <f aca="false">IF(AND(E461="",F461=""),"",SUM($E$5:E461)-SUM($F$5:F461))</f>
        <v/>
      </c>
    </row>
    <row r="462" customFormat="false" ht="15" hidden="false" customHeight="false" outlineLevel="0" collapsed="false">
      <c r="A462" s="19"/>
      <c r="B462" s="18"/>
      <c r="C462" s="18"/>
      <c r="D462" s="18"/>
      <c r="E462" s="15"/>
      <c r="F462" s="15"/>
      <c r="G462" s="8" t="str">
        <f aca="false">IF(AND(E462="",F462=""),"",SUM($E$5:E462)-SUM($F$5:F462))</f>
        <v/>
      </c>
    </row>
    <row r="463" customFormat="false" ht="15" hidden="false" customHeight="false" outlineLevel="0" collapsed="false">
      <c r="A463" s="19"/>
      <c r="B463" s="18"/>
      <c r="C463" s="18"/>
      <c r="D463" s="18"/>
      <c r="E463" s="15"/>
      <c r="F463" s="15"/>
      <c r="G463" s="8" t="str">
        <f aca="false">IF(AND(E463="",F463=""),"",SUM($E$5:E463)-SUM($F$5:F463))</f>
        <v/>
      </c>
    </row>
    <row r="464" customFormat="false" ht="15" hidden="false" customHeight="false" outlineLevel="0" collapsed="false">
      <c r="A464" s="19"/>
      <c r="B464" s="18"/>
      <c r="C464" s="18"/>
      <c r="D464" s="18"/>
      <c r="E464" s="15"/>
      <c r="F464" s="15"/>
      <c r="G464" s="8" t="str">
        <f aca="false">IF(AND(E464="",F464=""),"",SUM($E$5:E464)-SUM($F$5:F464))</f>
        <v/>
      </c>
    </row>
    <row r="465" customFormat="false" ht="15" hidden="false" customHeight="false" outlineLevel="0" collapsed="false">
      <c r="A465" s="19"/>
      <c r="B465" s="18"/>
      <c r="C465" s="18"/>
      <c r="D465" s="18"/>
      <c r="E465" s="15"/>
      <c r="F465" s="15"/>
      <c r="G465" s="8" t="str">
        <f aca="false">IF(AND(E465="",F465=""),"",SUM($E$5:E465)-SUM($F$5:F465))</f>
        <v/>
      </c>
    </row>
    <row r="466" customFormat="false" ht="15" hidden="false" customHeight="false" outlineLevel="0" collapsed="false">
      <c r="A466" s="19"/>
      <c r="B466" s="18"/>
      <c r="C466" s="18"/>
      <c r="D466" s="18"/>
      <c r="E466" s="15"/>
      <c r="F466" s="15"/>
      <c r="G466" s="8" t="str">
        <f aca="false">IF(AND(E466="",F466=""),"",SUM($E$5:E466)-SUM($F$5:F466))</f>
        <v/>
      </c>
    </row>
    <row r="467" customFormat="false" ht="15" hidden="false" customHeight="false" outlineLevel="0" collapsed="false">
      <c r="A467" s="19"/>
      <c r="B467" s="18"/>
      <c r="C467" s="18"/>
      <c r="D467" s="18"/>
      <c r="E467" s="15"/>
      <c r="F467" s="15"/>
      <c r="G467" s="8" t="str">
        <f aca="false">IF(AND(E467="",F467=""),"",SUM($E$5:E467)-SUM($F$5:F467))</f>
        <v/>
      </c>
    </row>
    <row r="468" customFormat="false" ht="15" hidden="false" customHeight="false" outlineLevel="0" collapsed="false">
      <c r="A468" s="19"/>
      <c r="B468" s="18"/>
      <c r="C468" s="18"/>
      <c r="D468" s="18"/>
      <c r="E468" s="15"/>
      <c r="F468" s="15"/>
      <c r="G468" s="8" t="str">
        <f aca="false">IF(AND(E468="",F468=""),"",SUM($E$5:E468)-SUM($F$5:F468))</f>
        <v/>
      </c>
    </row>
    <row r="469" customFormat="false" ht="15" hidden="false" customHeight="false" outlineLevel="0" collapsed="false">
      <c r="A469" s="19"/>
      <c r="B469" s="18"/>
      <c r="C469" s="18"/>
      <c r="D469" s="18"/>
      <c r="E469" s="15"/>
      <c r="F469" s="15"/>
      <c r="G469" s="8" t="str">
        <f aca="false">IF(AND(E469="",F469=""),"",SUM($E$5:E469)-SUM($F$5:F469))</f>
        <v/>
      </c>
    </row>
    <row r="470" customFormat="false" ht="15" hidden="false" customHeight="false" outlineLevel="0" collapsed="false">
      <c r="A470" s="19"/>
      <c r="B470" s="18"/>
      <c r="C470" s="18"/>
      <c r="D470" s="18"/>
      <c r="E470" s="15"/>
      <c r="F470" s="15"/>
      <c r="G470" s="8" t="str">
        <f aca="false">IF(AND(E470="",F470=""),"",SUM($E$5:E470)-SUM($F$5:F470))</f>
        <v/>
      </c>
    </row>
    <row r="471" customFormat="false" ht="15" hidden="false" customHeight="false" outlineLevel="0" collapsed="false">
      <c r="A471" s="19"/>
      <c r="B471" s="18"/>
      <c r="C471" s="18"/>
      <c r="D471" s="18"/>
      <c r="E471" s="15"/>
      <c r="F471" s="15"/>
      <c r="G471" s="8" t="str">
        <f aca="false">IF(AND(E471="",F471=""),"",SUM($E$5:E471)-SUM($F$5:F471))</f>
        <v/>
      </c>
    </row>
    <row r="472" customFormat="false" ht="15" hidden="false" customHeight="false" outlineLevel="0" collapsed="false">
      <c r="A472" s="19"/>
      <c r="B472" s="18"/>
      <c r="C472" s="18"/>
      <c r="D472" s="18"/>
      <c r="E472" s="15"/>
      <c r="F472" s="15"/>
      <c r="G472" s="8" t="str">
        <f aca="false">IF(AND(E472="",F472=""),"",SUM($E$5:E472)-SUM($F$5:F472))</f>
        <v/>
      </c>
    </row>
    <row r="473" customFormat="false" ht="15" hidden="false" customHeight="false" outlineLevel="0" collapsed="false">
      <c r="A473" s="19"/>
      <c r="B473" s="18"/>
      <c r="C473" s="18"/>
      <c r="D473" s="18"/>
      <c r="E473" s="15"/>
      <c r="F473" s="15"/>
      <c r="G473" s="8" t="str">
        <f aca="false">IF(AND(E473="",F473=""),"",SUM($E$5:E473)-SUM($F$5:F473))</f>
        <v/>
      </c>
    </row>
    <row r="474" customFormat="false" ht="15" hidden="false" customHeight="false" outlineLevel="0" collapsed="false">
      <c r="A474" s="19"/>
      <c r="B474" s="18"/>
      <c r="C474" s="18"/>
      <c r="D474" s="18"/>
      <c r="E474" s="15"/>
      <c r="F474" s="15"/>
      <c r="G474" s="8" t="str">
        <f aca="false">IF(AND(E474="",F474=""),"",SUM($E$5:E474)-SUM($F$5:F474))</f>
        <v/>
      </c>
    </row>
    <row r="475" customFormat="false" ht="15" hidden="false" customHeight="false" outlineLevel="0" collapsed="false">
      <c r="A475" s="19"/>
      <c r="B475" s="18"/>
      <c r="C475" s="18"/>
      <c r="D475" s="18"/>
      <c r="E475" s="15"/>
      <c r="F475" s="15"/>
      <c r="G475" s="8" t="str">
        <f aca="false">IF(AND(E475="",F475=""),"",SUM($E$5:E475)-SUM($F$5:F475))</f>
        <v/>
      </c>
    </row>
    <row r="476" customFormat="false" ht="15" hidden="false" customHeight="false" outlineLevel="0" collapsed="false">
      <c r="A476" s="19"/>
      <c r="B476" s="18"/>
      <c r="C476" s="18"/>
      <c r="D476" s="18"/>
      <c r="E476" s="15"/>
      <c r="F476" s="15"/>
      <c r="G476" s="8" t="str">
        <f aca="false">IF(AND(E476="",F476=""),"",SUM($E$5:E476)-SUM($F$5:F476))</f>
        <v/>
      </c>
    </row>
    <row r="477" customFormat="false" ht="15" hidden="false" customHeight="false" outlineLevel="0" collapsed="false">
      <c r="A477" s="19"/>
      <c r="B477" s="18"/>
      <c r="C477" s="18"/>
      <c r="D477" s="18"/>
      <c r="E477" s="15"/>
      <c r="F477" s="15"/>
      <c r="G477" s="8" t="str">
        <f aca="false">IF(AND(E477="",F477=""),"",SUM($E$5:E477)-SUM($F$5:F477))</f>
        <v/>
      </c>
    </row>
    <row r="478" customFormat="false" ht="15" hidden="false" customHeight="false" outlineLevel="0" collapsed="false">
      <c r="A478" s="19"/>
      <c r="B478" s="18"/>
      <c r="C478" s="18"/>
      <c r="D478" s="18"/>
      <c r="E478" s="15"/>
      <c r="F478" s="15"/>
      <c r="G478" s="8" t="str">
        <f aca="false">IF(AND(E478="",F478=""),"",SUM($E$5:E478)-SUM($F$5:F478))</f>
        <v/>
      </c>
    </row>
    <row r="479" customFormat="false" ht="15" hidden="false" customHeight="false" outlineLevel="0" collapsed="false">
      <c r="A479" s="19"/>
      <c r="B479" s="18"/>
      <c r="C479" s="18"/>
      <c r="D479" s="18"/>
      <c r="E479" s="15"/>
      <c r="F479" s="15"/>
      <c r="G479" s="8" t="str">
        <f aca="false">IF(AND(E479="",F479=""),"",SUM($E$5:E479)-SUM($F$5:F479))</f>
        <v/>
      </c>
    </row>
    <row r="480" customFormat="false" ht="15" hidden="false" customHeight="false" outlineLevel="0" collapsed="false">
      <c r="A480" s="19"/>
      <c r="B480" s="18"/>
      <c r="C480" s="18"/>
      <c r="D480" s="18"/>
      <c r="E480" s="15"/>
      <c r="F480" s="15"/>
      <c r="G480" s="8" t="str">
        <f aca="false">IF(AND(E480="",F480=""),"",SUM($E$5:E480)-SUM($F$5:F480))</f>
        <v/>
      </c>
    </row>
    <row r="481" customFormat="false" ht="15" hidden="false" customHeight="false" outlineLevel="0" collapsed="false">
      <c r="A481" s="19"/>
      <c r="B481" s="18"/>
      <c r="C481" s="18"/>
      <c r="D481" s="18"/>
      <c r="E481" s="15"/>
      <c r="F481" s="15"/>
      <c r="G481" s="8" t="str">
        <f aca="false">IF(AND(E481="",F481=""),"",SUM($E$5:E481)-SUM($F$5:F481))</f>
        <v/>
      </c>
    </row>
    <row r="482" customFormat="false" ht="15" hidden="false" customHeight="false" outlineLevel="0" collapsed="false">
      <c r="A482" s="19"/>
      <c r="B482" s="18"/>
      <c r="C482" s="18"/>
      <c r="D482" s="18"/>
      <c r="E482" s="15"/>
      <c r="F482" s="15"/>
      <c r="G482" s="8" t="str">
        <f aca="false">IF(AND(E482="",F482=""),"",SUM($E$5:E482)-SUM($F$5:F482))</f>
        <v/>
      </c>
    </row>
    <row r="483" customFormat="false" ht="15" hidden="false" customHeight="false" outlineLevel="0" collapsed="false">
      <c r="A483" s="19"/>
      <c r="B483" s="18"/>
      <c r="C483" s="18"/>
      <c r="D483" s="18"/>
      <c r="E483" s="15"/>
      <c r="F483" s="15"/>
      <c r="G483" s="8" t="str">
        <f aca="false">IF(AND(E483="",F483=""),"",SUM($E$5:E483)-SUM($F$5:F483))</f>
        <v/>
      </c>
    </row>
    <row r="484" customFormat="false" ht="15" hidden="false" customHeight="false" outlineLevel="0" collapsed="false">
      <c r="A484" s="19"/>
      <c r="B484" s="18"/>
      <c r="C484" s="18"/>
      <c r="D484" s="18"/>
      <c r="E484" s="15"/>
      <c r="F484" s="15"/>
      <c r="G484" s="8" t="str">
        <f aca="false">IF(AND(E484="",F484=""),"",SUM($E$5:E484)-SUM($F$5:F484))</f>
        <v/>
      </c>
    </row>
    <row r="485" customFormat="false" ht="15" hidden="false" customHeight="false" outlineLevel="0" collapsed="false">
      <c r="A485" s="19"/>
      <c r="B485" s="18"/>
      <c r="C485" s="18"/>
      <c r="D485" s="18"/>
      <c r="E485" s="15"/>
      <c r="F485" s="15"/>
      <c r="G485" s="8" t="str">
        <f aca="false">IF(AND(E485="",F485=""),"",SUM($E$5:E485)-SUM($F$5:F485))</f>
        <v/>
      </c>
    </row>
    <row r="486" customFormat="false" ht="15" hidden="false" customHeight="false" outlineLevel="0" collapsed="false">
      <c r="A486" s="19"/>
      <c r="B486" s="18"/>
      <c r="C486" s="18"/>
      <c r="D486" s="18"/>
      <c r="E486" s="15"/>
      <c r="F486" s="15"/>
      <c r="G486" s="8" t="str">
        <f aca="false">IF(AND(E486="",F486=""),"",SUM($E$5:E486)-SUM($F$5:F486))</f>
        <v/>
      </c>
    </row>
    <row r="487" customFormat="false" ht="15" hidden="false" customHeight="false" outlineLevel="0" collapsed="false">
      <c r="A487" s="19"/>
      <c r="B487" s="18"/>
      <c r="C487" s="18"/>
      <c r="D487" s="18"/>
      <c r="E487" s="15"/>
      <c r="F487" s="15"/>
      <c r="G487" s="8" t="str">
        <f aca="false">IF(AND(E487="",F487=""),"",SUM($E$5:E487)-SUM($F$5:F487))</f>
        <v/>
      </c>
    </row>
    <row r="488" customFormat="false" ht="15" hidden="false" customHeight="false" outlineLevel="0" collapsed="false">
      <c r="A488" s="19"/>
      <c r="B488" s="18"/>
      <c r="C488" s="18"/>
      <c r="D488" s="18"/>
      <c r="E488" s="15"/>
      <c r="F488" s="15"/>
      <c r="G488" s="8" t="str">
        <f aca="false">IF(AND(E488="",F488=""),"",SUM($E$5:E488)-SUM($F$5:F488))</f>
        <v/>
      </c>
    </row>
    <row r="489" customFormat="false" ht="15" hidden="false" customHeight="false" outlineLevel="0" collapsed="false">
      <c r="A489" s="19"/>
      <c r="B489" s="18"/>
      <c r="C489" s="18"/>
      <c r="D489" s="18"/>
      <c r="E489" s="15"/>
      <c r="F489" s="15"/>
      <c r="G489" s="8" t="str">
        <f aca="false">IF(AND(E489="",F489=""),"",SUM($E$5:E489)-SUM($F$5:F489))</f>
        <v/>
      </c>
    </row>
    <row r="490" customFormat="false" ht="15" hidden="false" customHeight="false" outlineLevel="0" collapsed="false">
      <c r="A490" s="19"/>
      <c r="B490" s="18"/>
      <c r="C490" s="18"/>
      <c r="D490" s="18"/>
      <c r="E490" s="15"/>
      <c r="F490" s="15"/>
      <c r="G490" s="8" t="str">
        <f aca="false">IF(AND(E490="",F490=""),"",SUM($E$5:E490)-SUM($F$5:F490))</f>
        <v/>
      </c>
    </row>
    <row r="491" customFormat="false" ht="15" hidden="false" customHeight="false" outlineLevel="0" collapsed="false">
      <c r="A491" s="19"/>
      <c r="B491" s="18"/>
      <c r="C491" s="18"/>
      <c r="D491" s="18"/>
      <c r="E491" s="15"/>
      <c r="F491" s="15"/>
      <c r="G491" s="8" t="str">
        <f aca="false">IF(AND(E491="",F491=""),"",SUM($E$5:E491)-SUM($F$5:F491))</f>
        <v/>
      </c>
    </row>
    <row r="492" customFormat="false" ht="15" hidden="false" customHeight="false" outlineLevel="0" collapsed="false">
      <c r="A492" s="19"/>
      <c r="B492" s="18"/>
      <c r="C492" s="18"/>
      <c r="D492" s="18"/>
      <c r="E492" s="15"/>
      <c r="F492" s="15"/>
      <c r="G492" s="8" t="str">
        <f aca="false">IF(AND(E492="",F492=""),"",SUM($E$5:E492)-SUM($F$5:F492))</f>
        <v/>
      </c>
    </row>
    <row r="493" customFormat="false" ht="15" hidden="false" customHeight="false" outlineLevel="0" collapsed="false">
      <c r="A493" s="19"/>
      <c r="B493" s="18"/>
      <c r="C493" s="18"/>
      <c r="D493" s="18"/>
      <c r="E493" s="15"/>
      <c r="F493" s="15"/>
      <c r="G493" s="8" t="str">
        <f aca="false">IF(AND(E493="",F493=""),"",SUM($E$5:E493)-SUM($F$5:F493))</f>
        <v/>
      </c>
    </row>
    <row r="494" customFormat="false" ht="15" hidden="false" customHeight="false" outlineLevel="0" collapsed="false">
      <c r="A494" s="19"/>
      <c r="B494" s="18"/>
      <c r="C494" s="18"/>
      <c r="D494" s="18"/>
      <c r="E494" s="15"/>
      <c r="F494" s="15"/>
      <c r="G494" s="8" t="str">
        <f aca="false">IF(AND(E494="",F494=""),"",SUM($E$5:E494)-SUM($F$5:F494))</f>
        <v/>
      </c>
    </row>
    <row r="495" customFormat="false" ht="15" hidden="false" customHeight="false" outlineLevel="0" collapsed="false">
      <c r="A495" s="19"/>
      <c r="B495" s="18"/>
      <c r="C495" s="18"/>
      <c r="D495" s="18"/>
      <c r="E495" s="15"/>
      <c r="F495" s="15"/>
      <c r="G495" s="8" t="str">
        <f aca="false">IF(AND(E495="",F495=""),"",SUM($E$5:E495)-SUM($F$5:F495))</f>
        <v/>
      </c>
    </row>
    <row r="496" customFormat="false" ht="15" hidden="false" customHeight="false" outlineLevel="0" collapsed="false">
      <c r="A496" s="19"/>
      <c r="B496" s="18"/>
      <c r="C496" s="18"/>
      <c r="D496" s="18"/>
      <c r="E496" s="15"/>
      <c r="F496" s="15"/>
      <c r="G496" s="8" t="str">
        <f aca="false">IF(AND(E496="",F496=""),"",SUM($E$5:E496)-SUM($F$5:F496))</f>
        <v/>
      </c>
    </row>
    <row r="497" customFormat="false" ht="15" hidden="false" customHeight="false" outlineLevel="0" collapsed="false">
      <c r="A497" s="19"/>
      <c r="B497" s="18"/>
      <c r="C497" s="18"/>
      <c r="D497" s="18"/>
      <c r="E497" s="15"/>
      <c r="F497" s="15"/>
      <c r="G497" s="8" t="str">
        <f aca="false">IF(AND(E497="",F497=""),"",SUM($E$5:E497)-SUM($F$5:F497))</f>
        <v/>
      </c>
    </row>
    <row r="498" customFormat="false" ht="15" hidden="false" customHeight="false" outlineLevel="0" collapsed="false">
      <c r="A498" s="19"/>
      <c r="B498" s="18"/>
      <c r="C498" s="18"/>
      <c r="D498" s="18"/>
      <c r="E498" s="15"/>
      <c r="F498" s="15"/>
      <c r="G498" s="8" t="str">
        <f aca="false">IF(AND(E498="",F498=""),"",SUM($E$5:E498)-SUM($F$5:F498))</f>
        <v/>
      </c>
    </row>
    <row r="499" customFormat="false" ht="15" hidden="false" customHeight="false" outlineLevel="0" collapsed="false">
      <c r="A499" s="19"/>
      <c r="B499" s="18"/>
      <c r="C499" s="18"/>
      <c r="D499" s="18"/>
      <c r="E499" s="15"/>
      <c r="F499" s="15"/>
      <c r="G499" s="8" t="str">
        <f aca="false">IF(AND(E499="",F499=""),"",SUM($E$5:E499)-SUM($F$5:F499))</f>
        <v/>
      </c>
    </row>
    <row r="500" customFormat="false" ht="15" hidden="false" customHeight="false" outlineLevel="0" collapsed="false">
      <c r="A500" s="19"/>
      <c r="B500" s="18"/>
      <c r="C500" s="18"/>
      <c r="D500" s="18"/>
      <c r="E500" s="15"/>
      <c r="F500" s="15"/>
      <c r="G500" s="8" t="str">
        <f aca="false">IF(AND(E500="",F500=""),"",SUM($E$5:E500)-SUM($F$5:F500))</f>
        <v/>
      </c>
    </row>
    <row r="501" customFormat="false" ht="15" hidden="false" customHeight="false" outlineLevel="0" collapsed="false">
      <c r="A501" s="19"/>
      <c r="B501" s="18"/>
      <c r="C501" s="18"/>
      <c r="D501" s="18"/>
      <c r="E501" s="15"/>
      <c r="F501" s="15"/>
      <c r="G501" s="8" t="str">
        <f aca="false">IF(AND(E501="",F501=""),"",SUM($E$5:E501)-SUM($F$5:F501))</f>
        <v/>
      </c>
    </row>
    <row r="502" customFormat="false" ht="15" hidden="false" customHeight="false" outlineLevel="0" collapsed="false">
      <c r="A502" s="19"/>
      <c r="B502" s="18"/>
      <c r="C502" s="18"/>
      <c r="D502" s="18"/>
      <c r="E502" s="15"/>
      <c r="F502" s="15"/>
      <c r="G502" s="8" t="str">
        <f aca="false">IF(AND(E502="",F502=""),"",SUM($E$5:E502)-SUM($F$5:F502))</f>
        <v/>
      </c>
    </row>
    <row r="503" customFormat="false" ht="15" hidden="false" customHeight="false" outlineLevel="0" collapsed="false">
      <c r="A503" s="19"/>
      <c r="B503" s="18"/>
      <c r="C503" s="18"/>
      <c r="D503" s="18"/>
      <c r="E503" s="15"/>
      <c r="F503" s="15"/>
      <c r="G503" s="8" t="str">
        <f aca="false">IF(AND(E503="",F503=""),"",SUM($E$5:E503)-SUM($F$5:F503))</f>
        <v/>
      </c>
    </row>
    <row r="504" customFormat="false" ht="15" hidden="false" customHeight="false" outlineLevel="0" collapsed="false">
      <c r="A504" s="19"/>
      <c r="B504" s="18"/>
      <c r="C504" s="18"/>
      <c r="D504" s="18"/>
      <c r="E504" s="15"/>
      <c r="F504" s="15"/>
      <c r="G504" s="8" t="str">
        <f aca="false">IF(AND(E504="",F504=""),"",SUM($E$5:E504)-SUM($F$5:F504))</f>
        <v/>
      </c>
    </row>
  </sheetData>
  <dataValidations count="2">
    <dataValidation allowBlank="true" errorStyle="stop" operator="between" showDropDown="false" showErrorMessage="false" showInputMessage="false" sqref="B5:B504" type="list">
      <formula1>"Venta,Publicidad,Compra de mercancía,Flete,Devolución,Comisión,Herramientas/Apps,Otro"</formula1>
      <formula2>0</formula2>
    </dataValidation>
    <dataValidation allowBlank="true" errorStyle="stop" operator="between" showDropDown="false" showErrorMessage="false" showInputMessage="false" sqref="C5:C504" type="list">
      <formula1>Productos!$B$5:$B$34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28"/>
    <col collapsed="false" customWidth="true" hidden="false" outlineLevel="0" max="16" min="16" style="0" width="3"/>
    <col collapsed="false" customWidth="true" hidden="false" outlineLevel="0" max="17" min="17" style="0" width="95"/>
  </cols>
  <sheetData>
    <row r="1" customFormat="false" ht="19.7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31.5" hidden="false" customHeight="true" outlineLevel="0" collapsed="false">
      <c r="A4" s="13" t="s">
        <v>122</v>
      </c>
      <c r="B4" s="13" t="s">
        <v>37</v>
      </c>
      <c r="C4" s="13" t="s">
        <v>137</v>
      </c>
      <c r="D4" s="13" t="s">
        <v>138</v>
      </c>
      <c r="E4" s="13" t="s">
        <v>139</v>
      </c>
      <c r="F4" s="13" t="s">
        <v>140</v>
      </c>
      <c r="G4" s="13" t="s">
        <v>141</v>
      </c>
      <c r="H4" s="13" t="s">
        <v>142</v>
      </c>
      <c r="I4" s="13" t="s">
        <v>143</v>
      </c>
      <c r="J4" s="13" t="s">
        <v>144</v>
      </c>
      <c r="K4" s="13" t="s">
        <v>145</v>
      </c>
      <c r="L4" s="13" t="s">
        <v>146</v>
      </c>
      <c r="M4" s="13" t="s">
        <v>147</v>
      </c>
      <c r="N4" s="13" t="s">
        <v>148</v>
      </c>
      <c r="O4" s="13" t="s">
        <v>149</v>
      </c>
      <c r="Q4" s="20" t="s">
        <v>150</v>
      </c>
    </row>
    <row r="5" customFormat="false" ht="15" hidden="false" customHeight="false" outlineLevel="0" collapsed="false">
      <c r="A5" s="19" t="n">
        <v>46296</v>
      </c>
      <c r="B5" s="18" t="s">
        <v>106</v>
      </c>
      <c r="C5" s="18" t="s">
        <v>109</v>
      </c>
      <c r="D5" s="18" t="s">
        <v>151</v>
      </c>
      <c r="E5" s="15" t="n">
        <v>15</v>
      </c>
      <c r="F5" s="21" t="n">
        <v>4200</v>
      </c>
      <c r="G5" s="21" t="n">
        <v>96</v>
      </c>
      <c r="H5" s="21" t="n">
        <v>2</v>
      </c>
      <c r="I5" s="15" t="n">
        <v>79.98</v>
      </c>
      <c r="J5" s="22" t="n">
        <f aca="false">IF(OR(F5="",F5=0),"",G5/F5)</f>
        <v>0.0228571428571429</v>
      </c>
      <c r="K5" s="8" t="n">
        <f aca="false">IF(OR(G5="",G5=0),"",E5/G5)</f>
        <v>0.15625</v>
      </c>
      <c r="L5" s="8" t="n">
        <f aca="false">IF(OR(H5="",H5=0),"",E5/H5)</f>
        <v>7.5</v>
      </c>
      <c r="M5" s="12" t="n">
        <f aca="false">IF(OR(E5="",E5=0),"",I5/E5)</f>
        <v>5.332</v>
      </c>
      <c r="N5" s="8" t="n">
        <f aca="false">IF(E5="","",I5-E5)</f>
        <v>64.98</v>
      </c>
      <c r="O5" s="14" t="str">
        <f aca="false">IF(E5="","",IF(E5&lt;5,"Seguir probando",IF(M5="","",IF(M5&gt;=3,"Escalar (subir presupuesto)",IF(M5&gt;=1.5,"Optimizar creativo","Pausar o cambiar anuncio")))))</f>
        <v>Escalar (subir presupuesto)</v>
      </c>
      <c r="Q5" s="7" t="s">
        <v>152</v>
      </c>
    </row>
    <row r="6" customFormat="false" ht="15" hidden="false" customHeight="false" outlineLevel="0" collapsed="false">
      <c r="A6" s="19" t="n">
        <v>46297</v>
      </c>
      <c r="B6" s="18" t="s">
        <v>106</v>
      </c>
      <c r="C6" s="18" t="s">
        <v>109</v>
      </c>
      <c r="D6" s="18" t="s">
        <v>151</v>
      </c>
      <c r="E6" s="15" t="n">
        <v>15</v>
      </c>
      <c r="F6" s="21" t="n">
        <v>3900</v>
      </c>
      <c r="G6" s="21" t="n">
        <v>70</v>
      </c>
      <c r="H6" s="21" t="n">
        <v>0</v>
      </c>
      <c r="I6" s="15" t="n">
        <v>0</v>
      </c>
      <c r="J6" s="22" t="n">
        <f aca="false">IF(OR(F6="",F6=0),"",G6/F6)</f>
        <v>0.0179487179487179</v>
      </c>
      <c r="K6" s="8" t="n">
        <f aca="false">IF(OR(G6="",G6=0),"",E6/G6)</f>
        <v>0.214285714285714</v>
      </c>
      <c r="L6" s="8" t="str">
        <f aca="false">IF(OR(H6="",H6=0),"",E6/H6)</f>
        <v/>
      </c>
      <c r="M6" s="12" t="n">
        <f aca="false">IF(OR(E6="",E6=0),"",I6/E6)</f>
        <v>0</v>
      </c>
      <c r="N6" s="8" t="n">
        <f aca="false">IF(E6="","",I6-E6)</f>
        <v>-15</v>
      </c>
      <c r="O6" s="14" t="str">
        <f aca="false">IF(E6="","",IF(E6&lt;5,"Seguir probando",IF(M6="","",IF(M6&gt;=3,"Escalar (subir presupuesto)",IF(M6&gt;=1.5,"Optimizar creativo","Pausar o cambiar anuncio")))))</f>
        <v>Pausar o cambiar anuncio</v>
      </c>
      <c r="Q6" s="7" t="s">
        <v>153</v>
      </c>
    </row>
    <row r="7" customFormat="false" ht="15" hidden="false" customHeight="false" outlineLevel="0" collapsed="false">
      <c r="A7" s="19" t="n">
        <v>46298</v>
      </c>
      <c r="B7" s="18" t="s">
        <v>106</v>
      </c>
      <c r="C7" s="18" t="s">
        <v>114</v>
      </c>
      <c r="D7" s="18" t="s">
        <v>154</v>
      </c>
      <c r="E7" s="15" t="n">
        <v>12</v>
      </c>
      <c r="F7" s="21" t="n">
        <v>6100</v>
      </c>
      <c r="G7" s="21" t="n">
        <v>150</v>
      </c>
      <c r="H7" s="21" t="n">
        <v>1</v>
      </c>
      <c r="I7" s="15" t="n">
        <v>39.99</v>
      </c>
      <c r="J7" s="22" t="n">
        <f aca="false">IF(OR(F7="",F7=0),"",G7/F7)</f>
        <v>0.0245901639344262</v>
      </c>
      <c r="K7" s="8" t="n">
        <f aca="false">IF(OR(G7="",G7=0),"",E7/G7)</f>
        <v>0.08</v>
      </c>
      <c r="L7" s="8" t="n">
        <f aca="false">IF(OR(H7="",H7=0),"",E7/H7)</f>
        <v>12</v>
      </c>
      <c r="M7" s="12" t="n">
        <f aca="false">IF(OR(E7="",E7=0),"",I7/E7)</f>
        <v>3.3325</v>
      </c>
      <c r="N7" s="8" t="n">
        <f aca="false">IF(E7="","",I7-E7)</f>
        <v>27.99</v>
      </c>
      <c r="O7" s="14" t="str">
        <f aca="false">IF(E7="","",IF(E7&lt;5,"Seguir probando",IF(M7="","",IF(M7&gt;=3,"Escalar (subir presupuesto)",IF(M7&gt;=1.5,"Optimizar creativo","Pausar o cambiar anuncio")))))</f>
        <v>Escalar (subir presupuesto)</v>
      </c>
      <c r="Q7" s="7" t="s">
        <v>155</v>
      </c>
    </row>
    <row r="8" customFormat="false" ht="15" hidden="false" customHeight="false" outlineLevel="0" collapsed="false">
      <c r="A8" s="19"/>
      <c r="B8" s="18"/>
      <c r="C8" s="18"/>
      <c r="D8" s="18"/>
      <c r="E8" s="15"/>
      <c r="F8" s="21"/>
      <c r="G8" s="21"/>
      <c r="H8" s="21"/>
      <c r="I8" s="15"/>
      <c r="J8" s="22" t="str">
        <f aca="false">IF(OR(F8="",F8=0),"",G8/F8)</f>
        <v/>
      </c>
      <c r="K8" s="8" t="str">
        <f aca="false">IF(OR(G8="",G8=0),"",E8/G8)</f>
        <v/>
      </c>
      <c r="L8" s="8" t="str">
        <f aca="false">IF(OR(H8="",H8=0),"",E8/H8)</f>
        <v/>
      </c>
      <c r="M8" s="12" t="str">
        <f aca="false">IF(OR(E8="",E8=0),"",I8/E8)</f>
        <v/>
      </c>
      <c r="N8" s="8" t="str">
        <f aca="false">IF(E8="","",I8-E8)</f>
        <v/>
      </c>
      <c r="O8" s="14" t="str">
        <f aca="false">IF(E8="","",IF(E8&lt;5,"Seguir probando",IF(M8="","",IF(M8&gt;=3,"Escalar (subir presupuesto)",IF(M8&gt;=1.5,"Optimizar creativo","Pausar o cambiar anuncio")))))</f>
        <v/>
      </c>
      <c r="Q8" s="7" t="s">
        <v>156</v>
      </c>
    </row>
    <row r="9" customFormat="false" ht="15" hidden="false" customHeight="false" outlineLevel="0" collapsed="false">
      <c r="A9" s="19"/>
      <c r="B9" s="18"/>
      <c r="C9" s="18"/>
      <c r="D9" s="18"/>
      <c r="E9" s="15"/>
      <c r="F9" s="21"/>
      <c r="G9" s="21"/>
      <c r="H9" s="21"/>
      <c r="I9" s="15"/>
      <c r="J9" s="22" t="str">
        <f aca="false">IF(OR(F9="",F9=0),"",G9/F9)</f>
        <v/>
      </c>
      <c r="K9" s="8" t="str">
        <f aca="false">IF(OR(G9="",G9=0),"",E9/G9)</f>
        <v/>
      </c>
      <c r="L9" s="8" t="str">
        <f aca="false">IF(OR(H9="",H9=0),"",E9/H9)</f>
        <v/>
      </c>
      <c r="M9" s="12" t="str">
        <f aca="false">IF(OR(E9="",E9=0),"",I9/E9)</f>
        <v/>
      </c>
      <c r="N9" s="8" t="str">
        <f aca="false">IF(E9="","",I9-E9)</f>
        <v/>
      </c>
      <c r="O9" s="14" t="str">
        <f aca="false">IF(E9="","",IF(E9&lt;5,"Seguir probando",IF(M9="","",IF(M9&gt;=3,"Escalar (subir presupuesto)",IF(M9&gt;=1.5,"Optimizar creativo","Pausar o cambiar anuncio")))))</f>
        <v/>
      </c>
      <c r="Q9" s="7" t="s">
        <v>157</v>
      </c>
    </row>
    <row r="10" customFormat="false" ht="15" hidden="false" customHeight="false" outlineLevel="0" collapsed="false">
      <c r="A10" s="19"/>
      <c r="B10" s="18"/>
      <c r="C10" s="18"/>
      <c r="D10" s="18"/>
      <c r="E10" s="15"/>
      <c r="F10" s="21"/>
      <c r="G10" s="21"/>
      <c r="H10" s="21"/>
      <c r="I10" s="15"/>
      <c r="J10" s="22" t="str">
        <f aca="false">IF(OR(F10="",F10=0),"",G10/F10)</f>
        <v/>
      </c>
      <c r="K10" s="8" t="str">
        <f aca="false">IF(OR(G10="",G10=0),"",E10/G10)</f>
        <v/>
      </c>
      <c r="L10" s="8" t="str">
        <f aca="false">IF(OR(H10="",H10=0),"",E10/H10)</f>
        <v/>
      </c>
      <c r="M10" s="12" t="str">
        <f aca="false">IF(OR(E10="",E10=0),"",I10/E10)</f>
        <v/>
      </c>
      <c r="N10" s="8" t="str">
        <f aca="false">IF(E10="","",I10-E10)</f>
        <v/>
      </c>
      <c r="O10" s="14" t="str">
        <f aca="false">IF(E10="","",IF(E10&lt;5,"Seguir probando",IF(M10="","",IF(M10&gt;=3,"Escalar (subir presupuesto)",IF(M10&gt;=1.5,"Optimizar creativo","Pausar o cambiar anuncio")))))</f>
        <v/>
      </c>
      <c r="Q10" s="7" t="s">
        <v>158</v>
      </c>
    </row>
    <row r="11" customFormat="false" ht="15" hidden="false" customHeight="false" outlineLevel="0" collapsed="false">
      <c r="A11" s="19"/>
      <c r="B11" s="18"/>
      <c r="C11" s="18"/>
      <c r="D11" s="18"/>
      <c r="E11" s="15"/>
      <c r="F11" s="21"/>
      <c r="G11" s="21"/>
      <c r="H11" s="21"/>
      <c r="I11" s="15"/>
      <c r="J11" s="22" t="str">
        <f aca="false">IF(OR(F11="",F11=0),"",G11/F11)</f>
        <v/>
      </c>
      <c r="K11" s="8" t="str">
        <f aca="false">IF(OR(G11="",G11=0),"",E11/G11)</f>
        <v/>
      </c>
      <c r="L11" s="8" t="str">
        <f aca="false">IF(OR(H11="",H11=0),"",E11/H11)</f>
        <v/>
      </c>
      <c r="M11" s="12" t="str">
        <f aca="false">IF(OR(E11="",E11=0),"",I11/E11)</f>
        <v/>
      </c>
      <c r="N11" s="8" t="str">
        <f aca="false">IF(E11="","",I11-E11)</f>
        <v/>
      </c>
      <c r="O11" s="14" t="str">
        <f aca="false">IF(E11="","",IF(E11&lt;5,"Seguir probando",IF(M11="","",IF(M11&gt;=3,"Escalar (subir presupuesto)",IF(M11&gt;=1.5,"Optimizar creativo","Pausar o cambiar anuncio")))))</f>
        <v/>
      </c>
      <c r="Q11" s="7" t="s">
        <v>159</v>
      </c>
    </row>
    <row r="12" customFormat="false" ht="15" hidden="false" customHeight="false" outlineLevel="0" collapsed="false">
      <c r="A12" s="19"/>
      <c r="B12" s="18"/>
      <c r="C12" s="18"/>
      <c r="D12" s="18"/>
      <c r="E12" s="15"/>
      <c r="F12" s="21"/>
      <c r="G12" s="21"/>
      <c r="H12" s="21"/>
      <c r="I12" s="15"/>
      <c r="J12" s="22" t="str">
        <f aca="false">IF(OR(F12="",F12=0),"",G12/F12)</f>
        <v/>
      </c>
      <c r="K12" s="8" t="str">
        <f aca="false">IF(OR(G12="",G12=0),"",E12/G12)</f>
        <v/>
      </c>
      <c r="L12" s="8" t="str">
        <f aca="false">IF(OR(H12="",H12=0),"",E12/H12)</f>
        <v/>
      </c>
      <c r="M12" s="12" t="str">
        <f aca="false">IF(OR(E12="",E12=0),"",I12/E12)</f>
        <v/>
      </c>
      <c r="N12" s="8" t="str">
        <f aca="false">IF(E12="","",I12-E12)</f>
        <v/>
      </c>
      <c r="O12" s="14" t="str">
        <f aca="false">IF(E12="","",IF(E12&lt;5,"Seguir probando",IF(M12="","",IF(M12&gt;=3,"Escalar (subir presupuesto)",IF(M12&gt;=1.5,"Optimizar creativo","Pausar o cambiar anuncio")))))</f>
        <v/>
      </c>
      <c r="Q12" s="7" t="s">
        <v>160</v>
      </c>
    </row>
    <row r="13" customFormat="false" ht="15" hidden="false" customHeight="false" outlineLevel="0" collapsed="false">
      <c r="A13" s="19"/>
      <c r="B13" s="18"/>
      <c r="C13" s="18"/>
      <c r="D13" s="18"/>
      <c r="E13" s="15"/>
      <c r="F13" s="21"/>
      <c r="G13" s="21"/>
      <c r="H13" s="21"/>
      <c r="I13" s="15"/>
      <c r="J13" s="22" t="str">
        <f aca="false">IF(OR(F13="",F13=0),"",G13/F13)</f>
        <v/>
      </c>
      <c r="K13" s="8" t="str">
        <f aca="false">IF(OR(G13="",G13=0),"",E13/G13)</f>
        <v/>
      </c>
      <c r="L13" s="8" t="str">
        <f aca="false">IF(OR(H13="",H13=0),"",E13/H13)</f>
        <v/>
      </c>
      <c r="M13" s="12" t="str">
        <f aca="false">IF(OR(E13="",E13=0),"",I13/E13)</f>
        <v/>
      </c>
      <c r="N13" s="8" t="str">
        <f aca="false">IF(E13="","",I13-E13)</f>
        <v/>
      </c>
      <c r="O13" s="14" t="str">
        <f aca="false">IF(E13="","",IF(E13&lt;5,"Seguir probando",IF(M13="","",IF(M13&gt;=3,"Escalar (subir presupuesto)",IF(M13&gt;=1.5,"Optimizar creativo","Pausar o cambiar anuncio")))))</f>
        <v/>
      </c>
    </row>
    <row r="14" customFormat="false" ht="15" hidden="false" customHeight="false" outlineLevel="0" collapsed="false">
      <c r="A14" s="19"/>
      <c r="B14" s="18"/>
      <c r="C14" s="18"/>
      <c r="D14" s="18"/>
      <c r="E14" s="15"/>
      <c r="F14" s="21"/>
      <c r="G14" s="21"/>
      <c r="H14" s="21"/>
      <c r="I14" s="15"/>
      <c r="J14" s="22" t="str">
        <f aca="false">IF(OR(F14="",F14=0),"",G14/F14)</f>
        <v/>
      </c>
      <c r="K14" s="8" t="str">
        <f aca="false">IF(OR(G14="",G14=0),"",E14/G14)</f>
        <v/>
      </c>
      <c r="L14" s="8" t="str">
        <f aca="false">IF(OR(H14="",H14=0),"",E14/H14)</f>
        <v/>
      </c>
      <c r="M14" s="12" t="str">
        <f aca="false">IF(OR(E14="",E14=0),"",I14/E14)</f>
        <v/>
      </c>
      <c r="N14" s="8" t="str">
        <f aca="false">IF(E14="","",I14-E14)</f>
        <v/>
      </c>
      <c r="O14" s="14" t="str">
        <f aca="false">IF(E14="","",IF(E14&lt;5,"Seguir probando",IF(M14="","",IF(M14&gt;=3,"Escalar (subir presupuesto)",IF(M14&gt;=1.5,"Optimizar creativo","Pausar o cambiar anuncio")))))</f>
        <v/>
      </c>
    </row>
    <row r="15" customFormat="false" ht="15" hidden="false" customHeight="false" outlineLevel="0" collapsed="false">
      <c r="A15" s="19"/>
      <c r="B15" s="18"/>
      <c r="C15" s="18"/>
      <c r="D15" s="18"/>
      <c r="E15" s="15"/>
      <c r="F15" s="21"/>
      <c r="G15" s="21"/>
      <c r="H15" s="21"/>
      <c r="I15" s="15"/>
      <c r="J15" s="22" t="str">
        <f aca="false">IF(OR(F15="",F15=0),"",G15/F15)</f>
        <v/>
      </c>
      <c r="K15" s="8" t="str">
        <f aca="false">IF(OR(G15="",G15=0),"",E15/G15)</f>
        <v/>
      </c>
      <c r="L15" s="8" t="str">
        <f aca="false">IF(OR(H15="",H15=0),"",E15/H15)</f>
        <v/>
      </c>
      <c r="M15" s="12" t="str">
        <f aca="false">IF(OR(E15="",E15=0),"",I15/E15)</f>
        <v/>
      </c>
      <c r="N15" s="8" t="str">
        <f aca="false">IF(E15="","",I15-E15)</f>
        <v/>
      </c>
      <c r="O15" s="14" t="str">
        <f aca="false">IF(E15="","",IF(E15&lt;5,"Seguir probando",IF(M15="","",IF(M15&gt;=3,"Escalar (subir presupuesto)",IF(M15&gt;=1.5,"Optimizar creativo","Pausar o cambiar anuncio")))))</f>
        <v/>
      </c>
    </row>
    <row r="16" customFormat="false" ht="15" hidden="false" customHeight="false" outlineLevel="0" collapsed="false">
      <c r="A16" s="19"/>
      <c r="B16" s="18"/>
      <c r="C16" s="18"/>
      <c r="D16" s="18"/>
      <c r="E16" s="15"/>
      <c r="F16" s="21"/>
      <c r="G16" s="21"/>
      <c r="H16" s="21"/>
      <c r="I16" s="15"/>
      <c r="J16" s="22" t="str">
        <f aca="false">IF(OR(F16="",F16=0),"",G16/F16)</f>
        <v/>
      </c>
      <c r="K16" s="8" t="str">
        <f aca="false">IF(OR(G16="",G16=0),"",E16/G16)</f>
        <v/>
      </c>
      <c r="L16" s="8" t="str">
        <f aca="false">IF(OR(H16="",H16=0),"",E16/H16)</f>
        <v/>
      </c>
      <c r="M16" s="12" t="str">
        <f aca="false">IF(OR(E16="",E16=0),"",I16/E16)</f>
        <v/>
      </c>
      <c r="N16" s="8" t="str">
        <f aca="false">IF(E16="","",I16-E16)</f>
        <v/>
      </c>
      <c r="O16" s="14" t="str">
        <f aca="false">IF(E16="","",IF(E16&lt;5,"Seguir probando",IF(M16="","",IF(M16&gt;=3,"Escalar (subir presupuesto)",IF(M16&gt;=1.5,"Optimizar creativo","Pausar o cambiar anuncio")))))</f>
        <v/>
      </c>
    </row>
    <row r="17" customFormat="false" ht="15" hidden="false" customHeight="false" outlineLevel="0" collapsed="false">
      <c r="A17" s="19"/>
      <c r="B17" s="18"/>
      <c r="C17" s="18"/>
      <c r="D17" s="18"/>
      <c r="E17" s="15"/>
      <c r="F17" s="21"/>
      <c r="G17" s="21"/>
      <c r="H17" s="21"/>
      <c r="I17" s="15"/>
      <c r="J17" s="22" t="str">
        <f aca="false">IF(OR(F17="",F17=0),"",G17/F17)</f>
        <v/>
      </c>
      <c r="K17" s="8" t="str">
        <f aca="false">IF(OR(G17="",G17=0),"",E17/G17)</f>
        <v/>
      </c>
      <c r="L17" s="8" t="str">
        <f aca="false">IF(OR(H17="",H17=0),"",E17/H17)</f>
        <v/>
      </c>
      <c r="M17" s="12" t="str">
        <f aca="false">IF(OR(E17="",E17=0),"",I17/E17)</f>
        <v/>
      </c>
      <c r="N17" s="8" t="str">
        <f aca="false">IF(E17="","",I17-E17)</f>
        <v/>
      </c>
      <c r="O17" s="14" t="str">
        <f aca="false">IF(E17="","",IF(E17&lt;5,"Seguir probando",IF(M17="","",IF(M17&gt;=3,"Escalar (subir presupuesto)",IF(M17&gt;=1.5,"Optimizar creativo","Pausar o cambiar anuncio")))))</f>
        <v/>
      </c>
    </row>
    <row r="18" customFormat="false" ht="15" hidden="false" customHeight="false" outlineLevel="0" collapsed="false">
      <c r="A18" s="19"/>
      <c r="B18" s="18"/>
      <c r="C18" s="18"/>
      <c r="D18" s="18"/>
      <c r="E18" s="15"/>
      <c r="F18" s="21"/>
      <c r="G18" s="21"/>
      <c r="H18" s="21"/>
      <c r="I18" s="15"/>
      <c r="J18" s="22" t="str">
        <f aca="false">IF(OR(F18="",F18=0),"",G18/F18)</f>
        <v/>
      </c>
      <c r="K18" s="8" t="str">
        <f aca="false">IF(OR(G18="",G18=0),"",E18/G18)</f>
        <v/>
      </c>
      <c r="L18" s="8" t="str">
        <f aca="false">IF(OR(H18="",H18=0),"",E18/H18)</f>
        <v/>
      </c>
      <c r="M18" s="12" t="str">
        <f aca="false">IF(OR(E18="",E18=0),"",I18/E18)</f>
        <v/>
      </c>
      <c r="N18" s="8" t="str">
        <f aca="false">IF(E18="","",I18-E18)</f>
        <v/>
      </c>
      <c r="O18" s="14" t="str">
        <f aca="false">IF(E18="","",IF(E18&lt;5,"Seguir probando",IF(M18="","",IF(M18&gt;=3,"Escalar (subir presupuesto)",IF(M18&gt;=1.5,"Optimizar creativo","Pausar o cambiar anuncio")))))</f>
        <v/>
      </c>
    </row>
    <row r="19" customFormat="false" ht="15" hidden="false" customHeight="false" outlineLevel="0" collapsed="false">
      <c r="A19" s="19"/>
      <c r="B19" s="18"/>
      <c r="C19" s="18"/>
      <c r="D19" s="18"/>
      <c r="E19" s="15"/>
      <c r="F19" s="21"/>
      <c r="G19" s="21"/>
      <c r="H19" s="21"/>
      <c r="I19" s="15"/>
      <c r="J19" s="22" t="str">
        <f aca="false">IF(OR(F19="",F19=0),"",G19/F19)</f>
        <v/>
      </c>
      <c r="K19" s="8" t="str">
        <f aca="false">IF(OR(G19="",G19=0),"",E19/G19)</f>
        <v/>
      </c>
      <c r="L19" s="8" t="str">
        <f aca="false">IF(OR(H19="",H19=0),"",E19/H19)</f>
        <v/>
      </c>
      <c r="M19" s="12" t="str">
        <f aca="false">IF(OR(E19="",E19=0),"",I19/E19)</f>
        <v/>
      </c>
      <c r="N19" s="8" t="str">
        <f aca="false">IF(E19="","",I19-E19)</f>
        <v/>
      </c>
      <c r="O19" s="14" t="str">
        <f aca="false">IF(E19="","",IF(E19&lt;5,"Seguir probando",IF(M19="","",IF(M19&gt;=3,"Escalar (subir presupuesto)",IF(M19&gt;=1.5,"Optimizar creativo","Pausar o cambiar anuncio")))))</f>
        <v/>
      </c>
    </row>
    <row r="20" customFormat="false" ht="15" hidden="false" customHeight="false" outlineLevel="0" collapsed="false">
      <c r="A20" s="19"/>
      <c r="B20" s="18"/>
      <c r="C20" s="18"/>
      <c r="D20" s="18"/>
      <c r="E20" s="15"/>
      <c r="F20" s="21"/>
      <c r="G20" s="21"/>
      <c r="H20" s="21"/>
      <c r="I20" s="15"/>
      <c r="J20" s="22" t="str">
        <f aca="false">IF(OR(F20="",F20=0),"",G20/F20)</f>
        <v/>
      </c>
      <c r="K20" s="8" t="str">
        <f aca="false">IF(OR(G20="",G20=0),"",E20/G20)</f>
        <v/>
      </c>
      <c r="L20" s="8" t="str">
        <f aca="false">IF(OR(H20="",H20=0),"",E20/H20)</f>
        <v/>
      </c>
      <c r="M20" s="12" t="str">
        <f aca="false">IF(OR(E20="",E20=0),"",I20/E20)</f>
        <v/>
      </c>
      <c r="N20" s="8" t="str">
        <f aca="false">IF(E20="","",I20-E20)</f>
        <v/>
      </c>
      <c r="O20" s="14" t="str">
        <f aca="false">IF(E20="","",IF(E20&lt;5,"Seguir probando",IF(M20="","",IF(M20&gt;=3,"Escalar (subir presupuesto)",IF(M20&gt;=1.5,"Optimizar creativo","Pausar o cambiar anuncio")))))</f>
        <v/>
      </c>
    </row>
    <row r="21" customFormat="false" ht="15" hidden="false" customHeight="false" outlineLevel="0" collapsed="false">
      <c r="A21" s="19"/>
      <c r="B21" s="18"/>
      <c r="C21" s="18"/>
      <c r="D21" s="18"/>
      <c r="E21" s="15"/>
      <c r="F21" s="21"/>
      <c r="G21" s="21"/>
      <c r="H21" s="21"/>
      <c r="I21" s="15"/>
      <c r="J21" s="22" t="str">
        <f aca="false">IF(OR(F21="",F21=0),"",G21/F21)</f>
        <v/>
      </c>
      <c r="K21" s="8" t="str">
        <f aca="false">IF(OR(G21="",G21=0),"",E21/G21)</f>
        <v/>
      </c>
      <c r="L21" s="8" t="str">
        <f aca="false">IF(OR(H21="",H21=0),"",E21/H21)</f>
        <v/>
      </c>
      <c r="M21" s="12" t="str">
        <f aca="false">IF(OR(E21="",E21=0),"",I21/E21)</f>
        <v/>
      </c>
      <c r="N21" s="8" t="str">
        <f aca="false">IF(E21="","",I21-E21)</f>
        <v/>
      </c>
      <c r="O21" s="14" t="str">
        <f aca="false">IF(E21="","",IF(E21&lt;5,"Seguir probando",IF(M21="","",IF(M21&gt;=3,"Escalar (subir presupuesto)",IF(M21&gt;=1.5,"Optimizar creativo","Pausar o cambiar anuncio")))))</f>
        <v/>
      </c>
    </row>
    <row r="22" customFormat="false" ht="15" hidden="false" customHeight="false" outlineLevel="0" collapsed="false">
      <c r="A22" s="19"/>
      <c r="B22" s="18"/>
      <c r="C22" s="18"/>
      <c r="D22" s="18"/>
      <c r="E22" s="15"/>
      <c r="F22" s="21"/>
      <c r="G22" s="21"/>
      <c r="H22" s="21"/>
      <c r="I22" s="15"/>
      <c r="J22" s="22" t="str">
        <f aca="false">IF(OR(F22="",F22=0),"",G22/F22)</f>
        <v/>
      </c>
      <c r="K22" s="8" t="str">
        <f aca="false">IF(OR(G22="",G22=0),"",E22/G22)</f>
        <v/>
      </c>
      <c r="L22" s="8" t="str">
        <f aca="false">IF(OR(H22="",H22=0),"",E22/H22)</f>
        <v/>
      </c>
      <c r="M22" s="12" t="str">
        <f aca="false">IF(OR(E22="",E22=0),"",I22/E22)</f>
        <v/>
      </c>
      <c r="N22" s="8" t="str">
        <f aca="false">IF(E22="","",I22-E22)</f>
        <v/>
      </c>
      <c r="O22" s="14" t="str">
        <f aca="false">IF(E22="","",IF(E22&lt;5,"Seguir probando",IF(M22="","",IF(M22&gt;=3,"Escalar (subir presupuesto)",IF(M22&gt;=1.5,"Optimizar creativo","Pausar o cambiar anuncio")))))</f>
        <v/>
      </c>
    </row>
    <row r="23" customFormat="false" ht="15" hidden="false" customHeight="false" outlineLevel="0" collapsed="false">
      <c r="A23" s="19"/>
      <c r="B23" s="18"/>
      <c r="C23" s="18"/>
      <c r="D23" s="18"/>
      <c r="E23" s="15"/>
      <c r="F23" s="21"/>
      <c r="G23" s="21"/>
      <c r="H23" s="21"/>
      <c r="I23" s="15"/>
      <c r="J23" s="22" t="str">
        <f aca="false">IF(OR(F23="",F23=0),"",G23/F23)</f>
        <v/>
      </c>
      <c r="K23" s="8" t="str">
        <f aca="false">IF(OR(G23="",G23=0),"",E23/G23)</f>
        <v/>
      </c>
      <c r="L23" s="8" t="str">
        <f aca="false">IF(OR(H23="",H23=0),"",E23/H23)</f>
        <v/>
      </c>
      <c r="M23" s="12" t="str">
        <f aca="false">IF(OR(E23="",E23=0),"",I23/E23)</f>
        <v/>
      </c>
      <c r="N23" s="8" t="str">
        <f aca="false">IF(E23="","",I23-E23)</f>
        <v/>
      </c>
      <c r="O23" s="14" t="str">
        <f aca="false">IF(E23="","",IF(E23&lt;5,"Seguir probando",IF(M23="","",IF(M23&gt;=3,"Escalar (subir presupuesto)",IF(M23&gt;=1.5,"Optimizar creativo","Pausar o cambiar anuncio")))))</f>
        <v/>
      </c>
    </row>
    <row r="24" customFormat="false" ht="15" hidden="false" customHeight="false" outlineLevel="0" collapsed="false">
      <c r="A24" s="19"/>
      <c r="B24" s="18"/>
      <c r="C24" s="18"/>
      <c r="D24" s="18"/>
      <c r="E24" s="15"/>
      <c r="F24" s="21"/>
      <c r="G24" s="21"/>
      <c r="H24" s="21"/>
      <c r="I24" s="15"/>
      <c r="J24" s="22" t="str">
        <f aca="false">IF(OR(F24="",F24=0),"",G24/F24)</f>
        <v/>
      </c>
      <c r="K24" s="8" t="str">
        <f aca="false">IF(OR(G24="",G24=0),"",E24/G24)</f>
        <v/>
      </c>
      <c r="L24" s="8" t="str">
        <f aca="false">IF(OR(H24="",H24=0),"",E24/H24)</f>
        <v/>
      </c>
      <c r="M24" s="12" t="str">
        <f aca="false">IF(OR(E24="",E24=0),"",I24/E24)</f>
        <v/>
      </c>
      <c r="N24" s="8" t="str">
        <f aca="false">IF(E24="","",I24-E24)</f>
        <v/>
      </c>
      <c r="O24" s="14" t="str">
        <f aca="false">IF(E24="","",IF(E24&lt;5,"Seguir probando",IF(M24="","",IF(M24&gt;=3,"Escalar (subir presupuesto)",IF(M24&gt;=1.5,"Optimizar creativo","Pausar o cambiar anuncio")))))</f>
        <v/>
      </c>
    </row>
    <row r="25" customFormat="false" ht="15" hidden="false" customHeight="false" outlineLevel="0" collapsed="false">
      <c r="A25" s="19"/>
      <c r="B25" s="18"/>
      <c r="C25" s="18"/>
      <c r="D25" s="18"/>
      <c r="E25" s="15"/>
      <c r="F25" s="21"/>
      <c r="G25" s="21"/>
      <c r="H25" s="21"/>
      <c r="I25" s="15"/>
      <c r="J25" s="22" t="str">
        <f aca="false">IF(OR(F25="",F25=0),"",G25/F25)</f>
        <v/>
      </c>
      <c r="K25" s="8" t="str">
        <f aca="false">IF(OR(G25="",G25=0),"",E25/G25)</f>
        <v/>
      </c>
      <c r="L25" s="8" t="str">
        <f aca="false">IF(OR(H25="",H25=0),"",E25/H25)</f>
        <v/>
      </c>
      <c r="M25" s="12" t="str">
        <f aca="false">IF(OR(E25="",E25=0),"",I25/E25)</f>
        <v/>
      </c>
      <c r="N25" s="8" t="str">
        <f aca="false">IF(E25="","",I25-E25)</f>
        <v/>
      </c>
      <c r="O25" s="14" t="str">
        <f aca="false">IF(E25="","",IF(E25&lt;5,"Seguir probando",IF(M25="","",IF(M25&gt;=3,"Escalar (subir presupuesto)",IF(M25&gt;=1.5,"Optimizar creativo","Pausar o cambiar anuncio")))))</f>
        <v/>
      </c>
    </row>
    <row r="26" customFormat="false" ht="15" hidden="false" customHeight="false" outlineLevel="0" collapsed="false">
      <c r="A26" s="19"/>
      <c r="B26" s="18"/>
      <c r="C26" s="18"/>
      <c r="D26" s="18"/>
      <c r="E26" s="15"/>
      <c r="F26" s="21"/>
      <c r="G26" s="21"/>
      <c r="H26" s="21"/>
      <c r="I26" s="15"/>
      <c r="J26" s="22" t="str">
        <f aca="false">IF(OR(F26="",F26=0),"",G26/F26)</f>
        <v/>
      </c>
      <c r="K26" s="8" t="str">
        <f aca="false">IF(OR(G26="",G26=0),"",E26/G26)</f>
        <v/>
      </c>
      <c r="L26" s="8" t="str">
        <f aca="false">IF(OR(H26="",H26=0),"",E26/H26)</f>
        <v/>
      </c>
      <c r="M26" s="12" t="str">
        <f aca="false">IF(OR(E26="",E26=0),"",I26/E26)</f>
        <v/>
      </c>
      <c r="N26" s="8" t="str">
        <f aca="false">IF(E26="","",I26-E26)</f>
        <v/>
      </c>
      <c r="O26" s="14" t="str">
        <f aca="false">IF(E26="","",IF(E26&lt;5,"Seguir probando",IF(M26="","",IF(M26&gt;=3,"Escalar (subir presupuesto)",IF(M26&gt;=1.5,"Optimizar creativo","Pausar o cambiar anuncio")))))</f>
        <v/>
      </c>
    </row>
    <row r="27" customFormat="false" ht="15" hidden="false" customHeight="false" outlineLevel="0" collapsed="false">
      <c r="A27" s="19"/>
      <c r="B27" s="18"/>
      <c r="C27" s="18"/>
      <c r="D27" s="18"/>
      <c r="E27" s="15"/>
      <c r="F27" s="21"/>
      <c r="G27" s="21"/>
      <c r="H27" s="21"/>
      <c r="I27" s="15"/>
      <c r="J27" s="22" t="str">
        <f aca="false">IF(OR(F27="",F27=0),"",G27/F27)</f>
        <v/>
      </c>
      <c r="K27" s="8" t="str">
        <f aca="false">IF(OR(G27="",G27=0),"",E27/G27)</f>
        <v/>
      </c>
      <c r="L27" s="8" t="str">
        <f aca="false">IF(OR(H27="",H27=0),"",E27/H27)</f>
        <v/>
      </c>
      <c r="M27" s="12" t="str">
        <f aca="false">IF(OR(E27="",E27=0),"",I27/E27)</f>
        <v/>
      </c>
      <c r="N27" s="8" t="str">
        <f aca="false">IF(E27="","",I27-E27)</f>
        <v/>
      </c>
      <c r="O27" s="14" t="str">
        <f aca="false">IF(E27="","",IF(E27&lt;5,"Seguir probando",IF(M27="","",IF(M27&gt;=3,"Escalar (subir presupuesto)",IF(M27&gt;=1.5,"Optimizar creativo","Pausar o cambiar anuncio")))))</f>
        <v/>
      </c>
    </row>
    <row r="28" customFormat="false" ht="15" hidden="false" customHeight="false" outlineLevel="0" collapsed="false">
      <c r="A28" s="19"/>
      <c r="B28" s="18"/>
      <c r="C28" s="18"/>
      <c r="D28" s="18"/>
      <c r="E28" s="15"/>
      <c r="F28" s="21"/>
      <c r="G28" s="21"/>
      <c r="H28" s="21"/>
      <c r="I28" s="15"/>
      <c r="J28" s="22" t="str">
        <f aca="false">IF(OR(F28="",F28=0),"",G28/F28)</f>
        <v/>
      </c>
      <c r="K28" s="8" t="str">
        <f aca="false">IF(OR(G28="",G28=0),"",E28/G28)</f>
        <v/>
      </c>
      <c r="L28" s="8" t="str">
        <f aca="false">IF(OR(H28="",H28=0),"",E28/H28)</f>
        <v/>
      </c>
      <c r="M28" s="12" t="str">
        <f aca="false">IF(OR(E28="",E28=0),"",I28/E28)</f>
        <v/>
      </c>
      <c r="N28" s="8" t="str">
        <f aca="false">IF(E28="","",I28-E28)</f>
        <v/>
      </c>
      <c r="O28" s="14" t="str">
        <f aca="false">IF(E28="","",IF(E28&lt;5,"Seguir probando",IF(M28="","",IF(M28&gt;=3,"Escalar (subir presupuesto)",IF(M28&gt;=1.5,"Optimizar creativo","Pausar o cambiar anuncio")))))</f>
        <v/>
      </c>
    </row>
    <row r="29" customFormat="false" ht="15" hidden="false" customHeight="false" outlineLevel="0" collapsed="false">
      <c r="A29" s="19"/>
      <c r="B29" s="18"/>
      <c r="C29" s="18"/>
      <c r="D29" s="18"/>
      <c r="E29" s="15"/>
      <c r="F29" s="21"/>
      <c r="G29" s="21"/>
      <c r="H29" s="21"/>
      <c r="I29" s="15"/>
      <c r="J29" s="22" t="str">
        <f aca="false">IF(OR(F29="",F29=0),"",G29/F29)</f>
        <v/>
      </c>
      <c r="K29" s="8" t="str">
        <f aca="false">IF(OR(G29="",G29=0),"",E29/G29)</f>
        <v/>
      </c>
      <c r="L29" s="8" t="str">
        <f aca="false">IF(OR(H29="",H29=0),"",E29/H29)</f>
        <v/>
      </c>
      <c r="M29" s="12" t="str">
        <f aca="false">IF(OR(E29="",E29=0),"",I29/E29)</f>
        <v/>
      </c>
      <c r="N29" s="8" t="str">
        <f aca="false">IF(E29="","",I29-E29)</f>
        <v/>
      </c>
      <c r="O29" s="14" t="str">
        <f aca="false">IF(E29="","",IF(E29&lt;5,"Seguir probando",IF(M29="","",IF(M29&gt;=3,"Escalar (subir presupuesto)",IF(M29&gt;=1.5,"Optimizar creativo","Pausar o cambiar anuncio")))))</f>
        <v/>
      </c>
    </row>
    <row r="30" customFormat="false" ht="15" hidden="false" customHeight="false" outlineLevel="0" collapsed="false">
      <c r="A30" s="19"/>
      <c r="B30" s="18"/>
      <c r="C30" s="18"/>
      <c r="D30" s="18"/>
      <c r="E30" s="15"/>
      <c r="F30" s="21"/>
      <c r="G30" s="21"/>
      <c r="H30" s="21"/>
      <c r="I30" s="15"/>
      <c r="J30" s="22" t="str">
        <f aca="false">IF(OR(F30="",F30=0),"",G30/F30)</f>
        <v/>
      </c>
      <c r="K30" s="8" t="str">
        <f aca="false">IF(OR(G30="",G30=0),"",E30/G30)</f>
        <v/>
      </c>
      <c r="L30" s="8" t="str">
        <f aca="false">IF(OR(H30="",H30=0),"",E30/H30)</f>
        <v/>
      </c>
      <c r="M30" s="12" t="str">
        <f aca="false">IF(OR(E30="",E30=0),"",I30/E30)</f>
        <v/>
      </c>
      <c r="N30" s="8" t="str">
        <f aca="false">IF(E30="","",I30-E30)</f>
        <v/>
      </c>
      <c r="O30" s="14" t="str">
        <f aca="false">IF(E30="","",IF(E30&lt;5,"Seguir probando",IF(M30="","",IF(M30&gt;=3,"Escalar (subir presupuesto)",IF(M30&gt;=1.5,"Optimizar creativo","Pausar o cambiar anuncio")))))</f>
        <v/>
      </c>
    </row>
    <row r="31" customFormat="false" ht="15" hidden="false" customHeight="false" outlineLevel="0" collapsed="false">
      <c r="A31" s="19"/>
      <c r="B31" s="18"/>
      <c r="C31" s="18"/>
      <c r="D31" s="18"/>
      <c r="E31" s="15"/>
      <c r="F31" s="21"/>
      <c r="G31" s="21"/>
      <c r="H31" s="21"/>
      <c r="I31" s="15"/>
      <c r="J31" s="22" t="str">
        <f aca="false">IF(OR(F31="",F31=0),"",G31/F31)</f>
        <v/>
      </c>
      <c r="K31" s="8" t="str">
        <f aca="false">IF(OR(G31="",G31=0),"",E31/G31)</f>
        <v/>
      </c>
      <c r="L31" s="8" t="str">
        <f aca="false">IF(OR(H31="",H31=0),"",E31/H31)</f>
        <v/>
      </c>
      <c r="M31" s="12" t="str">
        <f aca="false">IF(OR(E31="",E31=0),"",I31/E31)</f>
        <v/>
      </c>
      <c r="N31" s="8" t="str">
        <f aca="false">IF(E31="","",I31-E31)</f>
        <v/>
      </c>
      <c r="O31" s="14" t="str">
        <f aca="false">IF(E31="","",IF(E31&lt;5,"Seguir probando",IF(M31="","",IF(M31&gt;=3,"Escalar (subir presupuesto)",IF(M31&gt;=1.5,"Optimizar creativo","Pausar o cambiar anuncio")))))</f>
        <v/>
      </c>
    </row>
    <row r="32" customFormat="false" ht="15" hidden="false" customHeight="false" outlineLevel="0" collapsed="false">
      <c r="A32" s="19"/>
      <c r="B32" s="18"/>
      <c r="C32" s="18"/>
      <c r="D32" s="18"/>
      <c r="E32" s="15"/>
      <c r="F32" s="21"/>
      <c r="G32" s="21"/>
      <c r="H32" s="21"/>
      <c r="I32" s="15"/>
      <c r="J32" s="22" t="str">
        <f aca="false">IF(OR(F32="",F32=0),"",G32/F32)</f>
        <v/>
      </c>
      <c r="K32" s="8" t="str">
        <f aca="false">IF(OR(G32="",G32=0),"",E32/G32)</f>
        <v/>
      </c>
      <c r="L32" s="8" t="str">
        <f aca="false">IF(OR(H32="",H32=0),"",E32/H32)</f>
        <v/>
      </c>
      <c r="M32" s="12" t="str">
        <f aca="false">IF(OR(E32="",E32=0),"",I32/E32)</f>
        <v/>
      </c>
      <c r="N32" s="8" t="str">
        <f aca="false">IF(E32="","",I32-E32)</f>
        <v/>
      </c>
      <c r="O32" s="14" t="str">
        <f aca="false">IF(E32="","",IF(E32&lt;5,"Seguir probando",IF(M32="","",IF(M32&gt;=3,"Escalar (subir presupuesto)",IF(M32&gt;=1.5,"Optimizar creativo","Pausar o cambiar anuncio")))))</f>
        <v/>
      </c>
    </row>
    <row r="33" customFormat="false" ht="15" hidden="false" customHeight="false" outlineLevel="0" collapsed="false">
      <c r="A33" s="19"/>
      <c r="B33" s="18"/>
      <c r="C33" s="18"/>
      <c r="D33" s="18"/>
      <c r="E33" s="15"/>
      <c r="F33" s="21"/>
      <c r="G33" s="21"/>
      <c r="H33" s="21"/>
      <c r="I33" s="15"/>
      <c r="J33" s="22" t="str">
        <f aca="false">IF(OR(F33="",F33=0),"",G33/F33)</f>
        <v/>
      </c>
      <c r="K33" s="8" t="str">
        <f aca="false">IF(OR(G33="",G33=0),"",E33/G33)</f>
        <v/>
      </c>
      <c r="L33" s="8" t="str">
        <f aca="false">IF(OR(H33="",H33=0),"",E33/H33)</f>
        <v/>
      </c>
      <c r="M33" s="12" t="str">
        <f aca="false">IF(OR(E33="",E33=0),"",I33/E33)</f>
        <v/>
      </c>
      <c r="N33" s="8" t="str">
        <f aca="false">IF(E33="","",I33-E33)</f>
        <v/>
      </c>
      <c r="O33" s="14" t="str">
        <f aca="false">IF(E33="","",IF(E33&lt;5,"Seguir probando",IF(M33="","",IF(M33&gt;=3,"Escalar (subir presupuesto)",IF(M33&gt;=1.5,"Optimizar creativo","Pausar o cambiar anuncio")))))</f>
        <v/>
      </c>
    </row>
    <row r="34" customFormat="false" ht="15" hidden="false" customHeight="false" outlineLevel="0" collapsed="false">
      <c r="A34" s="19"/>
      <c r="B34" s="18"/>
      <c r="C34" s="18"/>
      <c r="D34" s="18"/>
      <c r="E34" s="15"/>
      <c r="F34" s="21"/>
      <c r="G34" s="21"/>
      <c r="H34" s="21"/>
      <c r="I34" s="15"/>
      <c r="J34" s="22" t="str">
        <f aca="false">IF(OR(F34="",F34=0),"",G34/F34)</f>
        <v/>
      </c>
      <c r="K34" s="8" t="str">
        <f aca="false">IF(OR(G34="",G34=0),"",E34/G34)</f>
        <v/>
      </c>
      <c r="L34" s="8" t="str">
        <f aca="false">IF(OR(H34="",H34=0),"",E34/H34)</f>
        <v/>
      </c>
      <c r="M34" s="12" t="str">
        <f aca="false">IF(OR(E34="",E34=0),"",I34/E34)</f>
        <v/>
      </c>
      <c r="N34" s="8" t="str">
        <f aca="false">IF(E34="","",I34-E34)</f>
        <v/>
      </c>
      <c r="O34" s="14" t="str">
        <f aca="false">IF(E34="","",IF(E34&lt;5,"Seguir probando",IF(M34="","",IF(M34&gt;=3,"Escalar (subir presupuesto)",IF(M34&gt;=1.5,"Optimizar creativo","Pausar o cambiar anuncio")))))</f>
        <v/>
      </c>
    </row>
    <row r="35" customFormat="false" ht="15" hidden="false" customHeight="false" outlineLevel="0" collapsed="false">
      <c r="A35" s="19"/>
      <c r="B35" s="18"/>
      <c r="C35" s="18"/>
      <c r="D35" s="18"/>
      <c r="E35" s="15"/>
      <c r="F35" s="21"/>
      <c r="G35" s="21"/>
      <c r="H35" s="21"/>
      <c r="I35" s="15"/>
      <c r="J35" s="22" t="str">
        <f aca="false">IF(OR(F35="",F35=0),"",G35/F35)</f>
        <v/>
      </c>
      <c r="K35" s="8" t="str">
        <f aca="false">IF(OR(G35="",G35=0),"",E35/G35)</f>
        <v/>
      </c>
      <c r="L35" s="8" t="str">
        <f aca="false">IF(OR(H35="",H35=0),"",E35/H35)</f>
        <v/>
      </c>
      <c r="M35" s="12" t="str">
        <f aca="false">IF(OR(E35="",E35=0),"",I35/E35)</f>
        <v/>
      </c>
      <c r="N35" s="8" t="str">
        <f aca="false">IF(E35="","",I35-E35)</f>
        <v/>
      </c>
      <c r="O35" s="14" t="str">
        <f aca="false">IF(E35="","",IF(E35&lt;5,"Seguir probando",IF(M35="","",IF(M35&gt;=3,"Escalar (subir presupuesto)",IF(M35&gt;=1.5,"Optimizar creativo","Pausar o cambiar anuncio")))))</f>
        <v/>
      </c>
    </row>
    <row r="36" customFormat="false" ht="15" hidden="false" customHeight="false" outlineLevel="0" collapsed="false">
      <c r="A36" s="19"/>
      <c r="B36" s="18"/>
      <c r="C36" s="18"/>
      <c r="D36" s="18"/>
      <c r="E36" s="15"/>
      <c r="F36" s="21"/>
      <c r="G36" s="21"/>
      <c r="H36" s="21"/>
      <c r="I36" s="15"/>
      <c r="J36" s="22" t="str">
        <f aca="false">IF(OR(F36="",F36=0),"",G36/F36)</f>
        <v/>
      </c>
      <c r="K36" s="8" t="str">
        <f aca="false">IF(OR(G36="",G36=0),"",E36/G36)</f>
        <v/>
      </c>
      <c r="L36" s="8" t="str">
        <f aca="false">IF(OR(H36="",H36=0),"",E36/H36)</f>
        <v/>
      </c>
      <c r="M36" s="12" t="str">
        <f aca="false">IF(OR(E36="",E36=0),"",I36/E36)</f>
        <v/>
      </c>
      <c r="N36" s="8" t="str">
        <f aca="false">IF(E36="","",I36-E36)</f>
        <v/>
      </c>
      <c r="O36" s="14" t="str">
        <f aca="false">IF(E36="","",IF(E36&lt;5,"Seguir probando",IF(M36="","",IF(M36&gt;=3,"Escalar (subir presupuesto)",IF(M36&gt;=1.5,"Optimizar creativo","Pausar o cambiar anuncio")))))</f>
        <v/>
      </c>
    </row>
    <row r="37" customFormat="false" ht="15" hidden="false" customHeight="false" outlineLevel="0" collapsed="false">
      <c r="A37" s="19"/>
      <c r="B37" s="18"/>
      <c r="C37" s="18"/>
      <c r="D37" s="18"/>
      <c r="E37" s="15"/>
      <c r="F37" s="21"/>
      <c r="G37" s="21"/>
      <c r="H37" s="21"/>
      <c r="I37" s="15"/>
      <c r="J37" s="22" t="str">
        <f aca="false">IF(OR(F37="",F37=0),"",G37/F37)</f>
        <v/>
      </c>
      <c r="K37" s="8" t="str">
        <f aca="false">IF(OR(G37="",G37=0),"",E37/G37)</f>
        <v/>
      </c>
      <c r="L37" s="8" t="str">
        <f aca="false">IF(OR(H37="",H37=0),"",E37/H37)</f>
        <v/>
      </c>
      <c r="M37" s="12" t="str">
        <f aca="false">IF(OR(E37="",E37=0),"",I37/E37)</f>
        <v/>
      </c>
      <c r="N37" s="8" t="str">
        <f aca="false">IF(E37="","",I37-E37)</f>
        <v/>
      </c>
      <c r="O37" s="14" t="str">
        <f aca="false">IF(E37="","",IF(E37&lt;5,"Seguir probando",IF(M37="","",IF(M37&gt;=3,"Escalar (subir presupuesto)",IF(M37&gt;=1.5,"Optimizar creativo","Pausar o cambiar anuncio")))))</f>
        <v/>
      </c>
    </row>
    <row r="38" customFormat="false" ht="15" hidden="false" customHeight="false" outlineLevel="0" collapsed="false">
      <c r="A38" s="19"/>
      <c r="B38" s="18"/>
      <c r="C38" s="18"/>
      <c r="D38" s="18"/>
      <c r="E38" s="15"/>
      <c r="F38" s="21"/>
      <c r="G38" s="21"/>
      <c r="H38" s="21"/>
      <c r="I38" s="15"/>
      <c r="J38" s="22" t="str">
        <f aca="false">IF(OR(F38="",F38=0),"",G38/F38)</f>
        <v/>
      </c>
      <c r="K38" s="8" t="str">
        <f aca="false">IF(OR(G38="",G38=0),"",E38/G38)</f>
        <v/>
      </c>
      <c r="L38" s="8" t="str">
        <f aca="false">IF(OR(H38="",H38=0),"",E38/H38)</f>
        <v/>
      </c>
      <c r="M38" s="12" t="str">
        <f aca="false">IF(OR(E38="",E38=0),"",I38/E38)</f>
        <v/>
      </c>
      <c r="N38" s="8" t="str">
        <f aca="false">IF(E38="","",I38-E38)</f>
        <v/>
      </c>
      <c r="O38" s="14" t="str">
        <f aca="false">IF(E38="","",IF(E38&lt;5,"Seguir probando",IF(M38="","",IF(M38&gt;=3,"Escalar (subir presupuesto)",IF(M38&gt;=1.5,"Optimizar creativo","Pausar o cambiar anuncio")))))</f>
        <v/>
      </c>
    </row>
    <row r="39" customFormat="false" ht="15" hidden="false" customHeight="false" outlineLevel="0" collapsed="false">
      <c r="A39" s="19"/>
      <c r="B39" s="18"/>
      <c r="C39" s="18"/>
      <c r="D39" s="18"/>
      <c r="E39" s="15"/>
      <c r="F39" s="21"/>
      <c r="G39" s="21"/>
      <c r="H39" s="21"/>
      <c r="I39" s="15"/>
      <c r="J39" s="22" t="str">
        <f aca="false">IF(OR(F39="",F39=0),"",G39/F39)</f>
        <v/>
      </c>
      <c r="K39" s="8" t="str">
        <f aca="false">IF(OR(G39="",G39=0),"",E39/G39)</f>
        <v/>
      </c>
      <c r="L39" s="8" t="str">
        <f aca="false">IF(OR(H39="",H39=0),"",E39/H39)</f>
        <v/>
      </c>
      <c r="M39" s="12" t="str">
        <f aca="false">IF(OR(E39="",E39=0),"",I39/E39)</f>
        <v/>
      </c>
      <c r="N39" s="8" t="str">
        <f aca="false">IF(E39="","",I39-E39)</f>
        <v/>
      </c>
      <c r="O39" s="14" t="str">
        <f aca="false">IF(E39="","",IF(E39&lt;5,"Seguir probando",IF(M39="","",IF(M39&gt;=3,"Escalar (subir presupuesto)",IF(M39&gt;=1.5,"Optimizar creativo","Pausar o cambiar anuncio")))))</f>
        <v/>
      </c>
    </row>
    <row r="40" customFormat="false" ht="15" hidden="false" customHeight="false" outlineLevel="0" collapsed="false">
      <c r="A40" s="19"/>
      <c r="B40" s="18"/>
      <c r="C40" s="18"/>
      <c r="D40" s="18"/>
      <c r="E40" s="15"/>
      <c r="F40" s="21"/>
      <c r="G40" s="21"/>
      <c r="H40" s="21"/>
      <c r="I40" s="15"/>
      <c r="J40" s="22" t="str">
        <f aca="false">IF(OR(F40="",F40=0),"",G40/F40)</f>
        <v/>
      </c>
      <c r="K40" s="8" t="str">
        <f aca="false">IF(OR(G40="",G40=0),"",E40/G40)</f>
        <v/>
      </c>
      <c r="L40" s="8" t="str">
        <f aca="false">IF(OR(H40="",H40=0),"",E40/H40)</f>
        <v/>
      </c>
      <c r="M40" s="12" t="str">
        <f aca="false">IF(OR(E40="",E40=0),"",I40/E40)</f>
        <v/>
      </c>
      <c r="N40" s="8" t="str">
        <f aca="false">IF(E40="","",I40-E40)</f>
        <v/>
      </c>
      <c r="O40" s="14" t="str">
        <f aca="false">IF(E40="","",IF(E40&lt;5,"Seguir probando",IF(M40="","",IF(M40&gt;=3,"Escalar (subir presupuesto)",IF(M40&gt;=1.5,"Optimizar creativo","Pausar o cambiar anuncio")))))</f>
        <v/>
      </c>
    </row>
    <row r="41" customFormat="false" ht="15" hidden="false" customHeight="false" outlineLevel="0" collapsed="false">
      <c r="A41" s="19"/>
      <c r="B41" s="18"/>
      <c r="C41" s="18"/>
      <c r="D41" s="18"/>
      <c r="E41" s="15"/>
      <c r="F41" s="21"/>
      <c r="G41" s="21"/>
      <c r="H41" s="21"/>
      <c r="I41" s="15"/>
      <c r="J41" s="22" t="str">
        <f aca="false">IF(OR(F41="",F41=0),"",G41/F41)</f>
        <v/>
      </c>
      <c r="K41" s="8" t="str">
        <f aca="false">IF(OR(G41="",G41=0),"",E41/G41)</f>
        <v/>
      </c>
      <c r="L41" s="8" t="str">
        <f aca="false">IF(OR(H41="",H41=0),"",E41/H41)</f>
        <v/>
      </c>
      <c r="M41" s="12" t="str">
        <f aca="false">IF(OR(E41="",E41=0),"",I41/E41)</f>
        <v/>
      </c>
      <c r="N41" s="8" t="str">
        <f aca="false">IF(E41="","",I41-E41)</f>
        <v/>
      </c>
      <c r="O41" s="14" t="str">
        <f aca="false">IF(E41="","",IF(E41&lt;5,"Seguir probando",IF(M41="","",IF(M41&gt;=3,"Escalar (subir presupuesto)",IF(M41&gt;=1.5,"Optimizar creativo","Pausar o cambiar anuncio")))))</f>
        <v/>
      </c>
    </row>
    <row r="42" customFormat="false" ht="15" hidden="false" customHeight="false" outlineLevel="0" collapsed="false">
      <c r="A42" s="19"/>
      <c r="B42" s="18"/>
      <c r="C42" s="18"/>
      <c r="D42" s="18"/>
      <c r="E42" s="15"/>
      <c r="F42" s="21"/>
      <c r="G42" s="21"/>
      <c r="H42" s="21"/>
      <c r="I42" s="15"/>
      <c r="J42" s="22" t="str">
        <f aca="false">IF(OR(F42="",F42=0),"",G42/F42)</f>
        <v/>
      </c>
      <c r="K42" s="8" t="str">
        <f aca="false">IF(OR(G42="",G42=0),"",E42/G42)</f>
        <v/>
      </c>
      <c r="L42" s="8" t="str">
        <f aca="false">IF(OR(H42="",H42=0),"",E42/H42)</f>
        <v/>
      </c>
      <c r="M42" s="12" t="str">
        <f aca="false">IF(OR(E42="",E42=0),"",I42/E42)</f>
        <v/>
      </c>
      <c r="N42" s="8" t="str">
        <f aca="false">IF(E42="","",I42-E42)</f>
        <v/>
      </c>
      <c r="O42" s="14" t="str">
        <f aca="false">IF(E42="","",IF(E42&lt;5,"Seguir probando",IF(M42="","",IF(M42&gt;=3,"Escalar (subir presupuesto)",IF(M42&gt;=1.5,"Optimizar creativo","Pausar o cambiar anuncio")))))</f>
        <v/>
      </c>
    </row>
    <row r="43" customFormat="false" ht="15" hidden="false" customHeight="false" outlineLevel="0" collapsed="false">
      <c r="A43" s="19"/>
      <c r="B43" s="18"/>
      <c r="C43" s="18"/>
      <c r="D43" s="18"/>
      <c r="E43" s="15"/>
      <c r="F43" s="21"/>
      <c r="G43" s="21"/>
      <c r="H43" s="21"/>
      <c r="I43" s="15"/>
      <c r="J43" s="22" t="str">
        <f aca="false">IF(OR(F43="",F43=0),"",G43/F43)</f>
        <v/>
      </c>
      <c r="K43" s="8" t="str">
        <f aca="false">IF(OR(G43="",G43=0),"",E43/G43)</f>
        <v/>
      </c>
      <c r="L43" s="8" t="str">
        <f aca="false">IF(OR(H43="",H43=0),"",E43/H43)</f>
        <v/>
      </c>
      <c r="M43" s="12" t="str">
        <f aca="false">IF(OR(E43="",E43=0),"",I43/E43)</f>
        <v/>
      </c>
      <c r="N43" s="8" t="str">
        <f aca="false">IF(E43="","",I43-E43)</f>
        <v/>
      </c>
      <c r="O43" s="14" t="str">
        <f aca="false">IF(E43="","",IF(E43&lt;5,"Seguir probando",IF(M43="","",IF(M43&gt;=3,"Escalar (subir presupuesto)",IF(M43&gt;=1.5,"Optimizar creativo","Pausar o cambiar anuncio")))))</f>
        <v/>
      </c>
    </row>
    <row r="44" customFormat="false" ht="15" hidden="false" customHeight="false" outlineLevel="0" collapsed="false">
      <c r="A44" s="19"/>
      <c r="B44" s="18"/>
      <c r="C44" s="18"/>
      <c r="D44" s="18"/>
      <c r="E44" s="15"/>
      <c r="F44" s="21"/>
      <c r="G44" s="21"/>
      <c r="H44" s="21"/>
      <c r="I44" s="15"/>
      <c r="J44" s="22" t="str">
        <f aca="false">IF(OR(F44="",F44=0),"",G44/F44)</f>
        <v/>
      </c>
      <c r="K44" s="8" t="str">
        <f aca="false">IF(OR(G44="",G44=0),"",E44/G44)</f>
        <v/>
      </c>
      <c r="L44" s="8" t="str">
        <f aca="false">IF(OR(H44="",H44=0),"",E44/H44)</f>
        <v/>
      </c>
      <c r="M44" s="12" t="str">
        <f aca="false">IF(OR(E44="",E44=0),"",I44/E44)</f>
        <v/>
      </c>
      <c r="N44" s="8" t="str">
        <f aca="false">IF(E44="","",I44-E44)</f>
        <v/>
      </c>
      <c r="O44" s="14" t="str">
        <f aca="false">IF(E44="","",IF(E44&lt;5,"Seguir probando",IF(M44="","",IF(M44&gt;=3,"Escalar (subir presupuesto)",IF(M44&gt;=1.5,"Optimizar creativo","Pausar o cambiar anuncio")))))</f>
        <v/>
      </c>
    </row>
    <row r="45" customFormat="false" ht="15" hidden="false" customHeight="false" outlineLevel="0" collapsed="false">
      <c r="A45" s="19"/>
      <c r="B45" s="18"/>
      <c r="C45" s="18"/>
      <c r="D45" s="18"/>
      <c r="E45" s="15"/>
      <c r="F45" s="21"/>
      <c r="G45" s="21"/>
      <c r="H45" s="21"/>
      <c r="I45" s="15"/>
      <c r="J45" s="22" t="str">
        <f aca="false">IF(OR(F45="",F45=0),"",G45/F45)</f>
        <v/>
      </c>
      <c r="K45" s="8" t="str">
        <f aca="false">IF(OR(G45="",G45=0),"",E45/G45)</f>
        <v/>
      </c>
      <c r="L45" s="8" t="str">
        <f aca="false">IF(OR(H45="",H45=0),"",E45/H45)</f>
        <v/>
      </c>
      <c r="M45" s="12" t="str">
        <f aca="false">IF(OR(E45="",E45=0),"",I45/E45)</f>
        <v/>
      </c>
      <c r="N45" s="8" t="str">
        <f aca="false">IF(E45="","",I45-E45)</f>
        <v/>
      </c>
      <c r="O45" s="14" t="str">
        <f aca="false">IF(E45="","",IF(E45&lt;5,"Seguir probando",IF(M45="","",IF(M45&gt;=3,"Escalar (subir presupuesto)",IF(M45&gt;=1.5,"Optimizar creativo","Pausar o cambiar anuncio")))))</f>
        <v/>
      </c>
    </row>
    <row r="46" customFormat="false" ht="15" hidden="false" customHeight="false" outlineLevel="0" collapsed="false">
      <c r="A46" s="19"/>
      <c r="B46" s="18"/>
      <c r="C46" s="18"/>
      <c r="D46" s="18"/>
      <c r="E46" s="15"/>
      <c r="F46" s="21"/>
      <c r="G46" s="21"/>
      <c r="H46" s="21"/>
      <c r="I46" s="15"/>
      <c r="J46" s="22" t="str">
        <f aca="false">IF(OR(F46="",F46=0),"",G46/F46)</f>
        <v/>
      </c>
      <c r="K46" s="8" t="str">
        <f aca="false">IF(OR(G46="",G46=0),"",E46/G46)</f>
        <v/>
      </c>
      <c r="L46" s="8" t="str">
        <f aca="false">IF(OR(H46="",H46=0),"",E46/H46)</f>
        <v/>
      </c>
      <c r="M46" s="12" t="str">
        <f aca="false">IF(OR(E46="",E46=0),"",I46/E46)</f>
        <v/>
      </c>
      <c r="N46" s="8" t="str">
        <f aca="false">IF(E46="","",I46-E46)</f>
        <v/>
      </c>
      <c r="O46" s="14" t="str">
        <f aca="false">IF(E46="","",IF(E46&lt;5,"Seguir probando",IF(M46="","",IF(M46&gt;=3,"Escalar (subir presupuesto)",IF(M46&gt;=1.5,"Optimizar creativo","Pausar o cambiar anuncio")))))</f>
        <v/>
      </c>
    </row>
    <row r="47" customFormat="false" ht="15" hidden="false" customHeight="false" outlineLevel="0" collapsed="false">
      <c r="A47" s="19"/>
      <c r="B47" s="18"/>
      <c r="C47" s="18"/>
      <c r="D47" s="18"/>
      <c r="E47" s="15"/>
      <c r="F47" s="21"/>
      <c r="G47" s="21"/>
      <c r="H47" s="21"/>
      <c r="I47" s="15"/>
      <c r="J47" s="22" t="str">
        <f aca="false">IF(OR(F47="",F47=0),"",G47/F47)</f>
        <v/>
      </c>
      <c r="K47" s="8" t="str">
        <f aca="false">IF(OR(G47="",G47=0),"",E47/G47)</f>
        <v/>
      </c>
      <c r="L47" s="8" t="str">
        <f aca="false">IF(OR(H47="",H47=0),"",E47/H47)</f>
        <v/>
      </c>
      <c r="M47" s="12" t="str">
        <f aca="false">IF(OR(E47="",E47=0),"",I47/E47)</f>
        <v/>
      </c>
      <c r="N47" s="8" t="str">
        <f aca="false">IF(E47="","",I47-E47)</f>
        <v/>
      </c>
      <c r="O47" s="14" t="str">
        <f aca="false">IF(E47="","",IF(E47&lt;5,"Seguir probando",IF(M47="","",IF(M47&gt;=3,"Escalar (subir presupuesto)",IF(M47&gt;=1.5,"Optimizar creativo","Pausar o cambiar anuncio")))))</f>
        <v/>
      </c>
    </row>
    <row r="48" customFormat="false" ht="15" hidden="false" customHeight="false" outlineLevel="0" collapsed="false">
      <c r="A48" s="19"/>
      <c r="B48" s="18"/>
      <c r="C48" s="18"/>
      <c r="D48" s="18"/>
      <c r="E48" s="15"/>
      <c r="F48" s="21"/>
      <c r="G48" s="21"/>
      <c r="H48" s="21"/>
      <c r="I48" s="15"/>
      <c r="J48" s="22" t="str">
        <f aca="false">IF(OR(F48="",F48=0),"",G48/F48)</f>
        <v/>
      </c>
      <c r="K48" s="8" t="str">
        <f aca="false">IF(OR(G48="",G48=0),"",E48/G48)</f>
        <v/>
      </c>
      <c r="L48" s="8" t="str">
        <f aca="false">IF(OR(H48="",H48=0),"",E48/H48)</f>
        <v/>
      </c>
      <c r="M48" s="12" t="str">
        <f aca="false">IF(OR(E48="",E48=0),"",I48/E48)</f>
        <v/>
      </c>
      <c r="N48" s="8" t="str">
        <f aca="false">IF(E48="","",I48-E48)</f>
        <v/>
      </c>
      <c r="O48" s="14" t="str">
        <f aca="false">IF(E48="","",IF(E48&lt;5,"Seguir probando",IF(M48="","",IF(M48&gt;=3,"Escalar (subir presupuesto)",IF(M48&gt;=1.5,"Optimizar creativo","Pausar o cambiar anuncio")))))</f>
        <v/>
      </c>
    </row>
    <row r="49" customFormat="false" ht="15" hidden="false" customHeight="false" outlineLevel="0" collapsed="false">
      <c r="A49" s="19"/>
      <c r="B49" s="18"/>
      <c r="C49" s="18"/>
      <c r="D49" s="18"/>
      <c r="E49" s="15"/>
      <c r="F49" s="21"/>
      <c r="G49" s="21"/>
      <c r="H49" s="21"/>
      <c r="I49" s="15"/>
      <c r="J49" s="22" t="str">
        <f aca="false">IF(OR(F49="",F49=0),"",G49/F49)</f>
        <v/>
      </c>
      <c r="K49" s="8" t="str">
        <f aca="false">IF(OR(G49="",G49=0),"",E49/G49)</f>
        <v/>
      </c>
      <c r="L49" s="8" t="str">
        <f aca="false">IF(OR(H49="",H49=0),"",E49/H49)</f>
        <v/>
      </c>
      <c r="M49" s="12" t="str">
        <f aca="false">IF(OR(E49="",E49=0),"",I49/E49)</f>
        <v/>
      </c>
      <c r="N49" s="8" t="str">
        <f aca="false">IF(E49="","",I49-E49)</f>
        <v/>
      </c>
      <c r="O49" s="14" t="str">
        <f aca="false">IF(E49="","",IF(E49&lt;5,"Seguir probando",IF(M49="","",IF(M49&gt;=3,"Escalar (subir presupuesto)",IF(M49&gt;=1.5,"Optimizar creativo","Pausar o cambiar anuncio")))))</f>
        <v/>
      </c>
    </row>
    <row r="50" customFormat="false" ht="15" hidden="false" customHeight="false" outlineLevel="0" collapsed="false">
      <c r="A50" s="19"/>
      <c r="B50" s="18"/>
      <c r="C50" s="18"/>
      <c r="D50" s="18"/>
      <c r="E50" s="15"/>
      <c r="F50" s="21"/>
      <c r="G50" s="21"/>
      <c r="H50" s="21"/>
      <c r="I50" s="15"/>
      <c r="J50" s="22" t="str">
        <f aca="false">IF(OR(F50="",F50=0),"",G50/F50)</f>
        <v/>
      </c>
      <c r="K50" s="8" t="str">
        <f aca="false">IF(OR(G50="",G50=0),"",E50/G50)</f>
        <v/>
      </c>
      <c r="L50" s="8" t="str">
        <f aca="false">IF(OR(H50="",H50=0),"",E50/H50)</f>
        <v/>
      </c>
      <c r="M50" s="12" t="str">
        <f aca="false">IF(OR(E50="",E50=0),"",I50/E50)</f>
        <v/>
      </c>
      <c r="N50" s="8" t="str">
        <f aca="false">IF(E50="","",I50-E50)</f>
        <v/>
      </c>
      <c r="O50" s="14" t="str">
        <f aca="false">IF(E50="","",IF(E50&lt;5,"Seguir probando",IF(M50="","",IF(M50&gt;=3,"Escalar (subir presupuesto)",IF(M50&gt;=1.5,"Optimizar creativo","Pausar o cambiar anuncio")))))</f>
        <v/>
      </c>
    </row>
    <row r="51" customFormat="false" ht="15" hidden="false" customHeight="false" outlineLevel="0" collapsed="false">
      <c r="A51" s="19"/>
      <c r="B51" s="18"/>
      <c r="C51" s="18"/>
      <c r="D51" s="18"/>
      <c r="E51" s="15"/>
      <c r="F51" s="21"/>
      <c r="G51" s="21"/>
      <c r="H51" s="21"/>
      <c r="I51" s="15"/>
      <c r="J51" s="22" t="str">
        <f aca="false">IF(OR(F51="",F51=0),"",G51/F51)</f>
        <v/>
      </c>
      <c r="K51" s="8" t="str">
        <f aca="false">IF(OR(G51="",G51=0),"",E51/G51)</f>
        <v/>
      </c>
      <c r="L51" s="8" t="str">
        <f aca="false">IF(OR(H51="",H51=0),"",E51/H51)</f>
        <v/>
      </c>
      <c r="M51" s="12" t="str">
        <f aca="false">IF(OR(E51="",E51=0),"",I51/E51)</f>
        <v/>
      </c>
      <c r="N51" s="8" t="str">
        <f aca="false">IF(E51="","",I51-E51)</f>
        <v/>
      </c>
      <c r="O51" s="14" t="str">
        <f aca="false">IF(E51="","",IF(E51&lt;5,"Seguir probando",IF(M51="","",IF(M51&gt;=3,"Escalar (subir presupuesto)",IF(M51&gt;=1.5,"Optimizar creativo","Pausar o cambiar anuncio")))))</f>
        <v/>
      </c>
    </row>
    <row r="52" customFormat="false" ht="15" hidden="false" customHeight="false" outlineLevel="0" collapsed="false">
      <c r="A52" s="19"/>
      <c r="B52" s="18"/>
      <c r="C52" s="18"/>
      <c r="D52" s="18"/>
      <c r="E52" s="15"/>
      <c r="F52" s="21"/>
      <c r="G52" s="21"/>
      <c r="H52" s="21"/>
      <c r="I52" s="15"/>
      <c r="J52" s="22" t="str">
        <f aca="false">IF(OR(F52="",F52=0),"",G52/F52)</f>
        <v/>
      </c>
      <c r="K52" s="8" t="str">
        <f aca="false">IF(OR(G52="",G52=0),"",E52/G52)</f>
        <v/>
      </c>
      <c r="L52" s="8" t="str">
        <f aca="false">IF(OR(H52="",H52=0),"",E52/H52)</f>
        <v/>
      </c>
      <c r="M52" s="12" t="str">
        <f aca="false">IF(OR(E52="",E52=0),"",I52/E52)</f>
        <v/>
      </c>
      <c r="N52" s="8" t="str">
        <f aca="false">IF(E52="","",I52-E52)</f>
        <v/>
      </c>
      <c r="O52" s="14" t="str">
        <f aca="false">IF(E52="","",IF(E52&lt;5,"Seguir probando",IF(M52="","",IF(M52&gt;=3,"Escalar (subir presupuesto)",IF(M52&gt;=1.5,"Optimizar creativo","Pausar o cambiar anuncio")))))</f>
        <v/>
      </c>
    </row>
    <row r="53" customFormat="false" ht="15" hidden="false" customHeight="false" outlineLevel="0" collapsed="false">
      <c r="A53" s="19"/>
      <c r="B53" s="18"/>
      <c r="C53" s="18"/>
      <c r="D53" s="18"/>
      <c r="E53" s="15"/>
      <c r="F53" s="21"/>
      <c r="G53" s="21"/>
      <c r="H53" s="21"/>
      <c r="I53" s="15"/>
      <c r="J53" s="22" t="str">
        <f aca="false">IF(OR(F53="",F53=0),"",G53/F53)</f>
        <v/>
      </c>
      <c r="K53" s="8" t="str">
        <f aca="false">IF(OR(G53="",G53=0),"",E53/G53)</f>
        <v/>
      </c>
      <c r="L53" s="8" t="str">
        <f aca="false">IF(OR(H53="",H53=0),"",E53/H53)</f>
        <v/>
      </c>
      <c r="M53" s="12" t="str">
        <f aca="false">IF(OR(E53="",E53=0),"",I53/E53)</f>
        <v/>
      </c>
      <c r="N53" s="8" t="str">
        <f aca="false">IF(E53="","",I53-E53)</f>
        <v/>
      </c>
      <c r="O53" s="14" t="str">
        <f aca="false">IF(E53="","",IF(E53&lt;5,"Seguir probando",IF(M53="","",IF(M53&gt;=3,"Escalar (subir presupuesto)",IF(M53&gt;=1.5,"Optimizar creativo","Pausar o cambiar anuncio")))))</f>
        <v/>
      </c>
    </row>
    <row r="54" customFormat="false" ht="15" hidden="false" customHeight="false" outlineLevel="0" collapsed="false">
      <c r="A54" s="19"/>
      <c r="B54" s="18"/>
      <c r="C54" s="18"/>
      <c r="D54" s="18"/>
      <c r="E54" s="15"/>
      <c r="F54" s="21"/>
      <c r="G54" s="21"/>
      <c r="H54" s="21"/>
      <c r="I54" s="15"/>
      <c r="J54" s="22" t="str">
        <f aca="false">IF(OR(F54="",F54=0),"",G54/F54)</f>
        <v/>
      </c>
      <c r="K54" s="8" t="str">
        <f aca="false">IF(OR(G54="",G54=0),"",E54/G54)</f>
        <v/>
      </c>
      <c r="L54" s="8" t="str">
        <f aca="false">IF(OR(H54="",H54=0),"",E54/H54)</f>
        <v/>
      </c>
      <c r="M54" s="12" t="str">
        <f aca="false">IF(OR(E54="",E54=0),"",I54/E54)</f>
        <v/>
      </c>
      <c r="N54" s="8" t="str">
        <f aca="false">IF(E54="","",I54-E54)</f>
        <v/>
      </c>
      <c r="O54" s="14" t="str">
        <f aca="false">IF(E54="","",IF(E54&lt;5,"Seguir probando",IF(M54="","",IF(M54&gt;=3,"Escalar (subir presupuesto)",IF(M54&gt;=1.5,"Optimizar creativo","Pausar o cambiar anuncio")))))</f>
        <v/>
      </c>
    </row>
    <row r="55" customFormat="false" ht="15" hidden="false" customHeight="false" outlineLevel="0" collapsed="false">
      <c r="A55" s="19"/>
      <c r="B55" s="18"/>
      <c r="C55" s="18"/>
      <c r="D55" s="18"/>
      <c r="E55" s="15"/>
      <c r="F55" s="21"/>
      <c r="G55" s="21"/>
      <c r="H55" s="21"/>
      <c r="I55" s="15"/>
      <c r="J55" s="22" t="str">
        <f aca="false">IF(OR(F55="",F55=0),"",G55/F55)</f>
        <v/>
      </c>
      <c r="K55" s="8" t="str">
        <f aca="false">IF(OR(G55="",G55=0),"",E55/G55)</f>
        <v/>
      </c>
      <c r="L55" s="8" t="str">
        <f aca="false">IF(OR(H55="",H55=0),"",E55/H55)</f>
        <v/>
      </c>
      <c r="M55" s="12" t="str">
        <f aca="false">IF(OR(E55="",E55=0),"",I55/E55)</f>
        <v/>
      </c>
      <c r="N55" s="8" t="str">
        <f aca="false">IF(E55="","",I55-E55)</f>
        <v/>
      </c>
      <c r="O55" s="14" t="str">
        <f aca="false">IF(E55="","",IF(E55&lt;5,"Seguir probando",IF(M55="","",IF(M55&gt;=3,"Escalar (subir presupuesto)",IF(M55&gt;=1.5,"Optimizar creativo","Pausar o cambiar anuncio")))))</f>
        <v/>
      </c>
    </row>
    <row r="56" customFormat="false" ht="15" hidden="false" customHeight="false" outlineLevel="0" collapsed="false">
      <c r="A56" s="19"/>
      <c r="B56" s="18"/>
      <c r="C56" s="18"/>
      <c r="D56" s="18"/>
      <c r="E56" s="15"/>
      <c r="F56" s="21"/>
      <c r="G56" s="21"/>
      <c r="H56" s="21"/>
      <c r="I56" s="15"/>
      <c r="J56" s="22" t="str">
        <f aca="false">IF(OR(F56="",F56=0),"",G56/F56)</f>
        <v/>
      </c>
      <c r="K56" s="8" t="str">
        <f aca="false">IF(OR(G56="",G56=0),"",E56/G56)</f>
        <v/>
      </c>
      <c r="L56" s="8" t="str">
        <f aca="false">IF(OR(H56="",H56=0),"",E56/H56)</f>
        <v/>
      </c>
      <c r="M56" s="12" t="str">
        <f aca="false">IF(OR(E56="",E56=0),"",I56/E56)</f>
        <v/>
      </c>
      <c r="N56" s="8" t="str">
        <f aca="false">IF(E56="","",I56-E56)</f>
        <v/>
      </c>
      <c r="O56" s="14" t="str">
        <f aca="false">IF(E56="","",IF(E56&lt;5,"Seguir probando",IF(M56="","",IF(M56&gt;=3,"Escalar (subir presupuesto)",IF(M56&gt;=1.5,"Optimizar creativo","Pausar o cambiar anuncio")))))</f>
        <v/>
      </c>
    </row>
    <row r="57" customFormat="false" ht="15" hidden="false" customHeight="false" outlineLevel="0" collapsed="false">
      <c r="A57" s="19"/>
      <c r="B57" s="18"/>
      <c r="C57" s="18"/>
      <c r="D57" s="18"/>
      <c r="E57" s="15"/>
      <c r="F57" s="21"/>
      <c r="G57" s="21"/>
      <c r="H57" s="21"/>
      <c r="I57" s="15"/>
      <c r="J57" s="22" t="str">
        <f aca="false">IF(OR(F57="",F57=0),"",G57/F57)</f>
        <v/>
      </c>
      <c r="K57" s="8" t="str">
        <f aca="false">IF(OR(G57="",G57=0),"",E57/G57)</f>
        <v/>
      </c>
      <c r="L57" s="8" t="str">
        <f aca="false">IF(OR(H57="",H57=0),"",E57/H57)</f>
        <v/>
      </c>
      <c r="M57" s="12" t="str">
        <f aca="false">IF(OR(E57="",E57=0),"",I57/E57)</f>
        <v/>
      </c>
      <c r="N57" s="8" t="str">
        <f aca="false">IF(E57="","",I57-E57)</f>
        <v/>
      </c>
      <c r="O57" s="14" t="str">
        <f aca="false">IF(E57="","",IF(E57&lt;5,"Seguir probando",IF(M57="","",IF(M57&gt;=3,"Escalar (subir presupuesto)",IF(M57&gt;=1.5,"Optimizar creativo","Pausar o cambiar anuncio")))))</f>
        <v/>
      </c>
    </row>
    <row r="58" customFormat="false" ht="15" hidden="false" customHeight="false" outlineLevel="0" collapsed="false">
      <c r="A58" s="19"/>
      <c r="B58" s="18"/>
      <c r="C58" s="18"/>
      <c r="D58" s="18"/>
      <c r="E58" s="15"/>
      <c r="F58" s="21"/>
      <c r="G58" s="21"/>
      <c r="H58" s="21"/>
      <c r="I58" s="15"/>
      <c r="J58" s="22" t="str">
        <f aca="false">IF(OR(F58="",F58=0),"",G58/F58)</f>
        <v/>
      </c>
      <c r="K58" s="8" t="str">
        <f aca="false">IF(OR(G58="",G58=0),"",E58/G58)</f>
        <v/>
      </c>
      <c r="L58" s="8" t="str">
        <f aca="false">IF(OR(H58="",H58=0),"",E58/H58)</f>
        <v/>
      </c>
      <c r="M58" s="12" t="str">
        <f aca="false">IF(OR(E58="",E58=0),"",I58/E58)</f>
        <v/>
      </c>
      <c r="N58" s="8" t="str">
        <f aca="false">IF(E58="","",I58-E58)</f>
        <v/>
      </c>
      <c r="O58" s="14" t="str">
        <f aca="false">IF(E58="","",IF(E58&lt;5,"Seguir probando",IF(M58="","",IF(M58&gt;=3,"Escalar (subir presupuesto)",IF(M58&gt;=1.5,"Optimizar creativo","Pausar o cambiar anuncio")))))</f>
        <v/>
      </c>
    </row>
    <row r="59" customFormat="false" ht="15" hidden="false" customHeight="false" outlineLevel="0" collapsed="false">
      <c r="A59" s="19"/>
      <c r="B59" s="18"/>
      <c r="C59" s="18"/>
      <c r="D59" s="18"/>
      <c r="E59" s="15"/>
      <c r="F59" s="21"/>
      <c r="G59" s="21"/>
      <c r="H59" s="21"/>
      <c r="I59" s="15"/>
      <c r="J59" s="22" t="str">
        <f aca="false">IF(OR(F59="",F59=0),"",G59/F59)</f>
        <v/>
      </c>
      <c r="K59" s="8" t="str">
        <f aca="false">IF(OR(G59="",G59=0),"",E59/G59)</f>
        <v/>
      </c>
      <c r="L59" s="8" t="str">
        <f aca="false">IF(OR(H59="",H59=0),"",E59/H59)</f>
        <v/>
      </c>
      <c r="M59" s="12" t="str">
        <f aca="false">IF(OR(E59="",E59=0),"",I59/E59)</f>
        <v/>
      </c>
      <c r="N59" s="8" t="str">
        <f aca="false">IF(E59="","",I59-E59)</f>
        <v/>
      </c>
      <c r="O59" s="14" t="str">
        <f aca="false">IF(E59="","",IF(E59&lt;5,"Seguir probando",IF(M59="","",IF(M59&gt;=3,"Escalar (subir presupuesto)",IF(M59&gt;=1.5,"Optimizar creativo","Pausar o cambiar anuncio")))))</f>
        <v/>
      </c>
    </row>
    <row r="60" customFormat="false" ht="15" hidden="false" customHeight="false" outlineLevel="0" collapsed="false">
      <c r="A60" s="19"/>
      <c r="B60" s="18"/>
      <c r="C60" s="18"/>
      <c r="D60" s="18"/>
      <c r="E60" s="15"/>
      <c r="F60" s="21"/>
      <c r="G60" s="21"/>
      <c r="H60" s="21"/>
      <c r="I60" s="15"/>
      <c r="J60" s="22" t="str">
        <f aca="false">IF(OR(F60="",F60=0),"",G60/F60)</f>
        <v/>
      </c>
      <c r="K60" s="8" t="str">
        <f aca="false">IF(OR(G60="",G60=0),"",E60/G60)</f>
        <v/>
      </c>
      <c r="L60" s="8" t="str">
        <f aca="false">IF(OR(H60="",H60=0),"",E60/H60)</f>
        <v/>
      </c>
      <c r="M60" s="12" t="str">
        <f aca="false">IF(OR(E60="",E60=0),"",I60/E60)</f>
        <v/>
      </c>
      <c r="N60" s="8" t="str">
        <f aca="false">IF(E60="","",I60-E60)</f>
        <v/>
      </c>
      <c r="O60" s="14" t="str">
        <f aca="false">IF(E60="","",IF(E60&lt;5,"Seguir probando",IF(M60="","",IF(M60&gt;=3,"Escalar (subir presupuesto)",IF(M60&gt;=1.5,"Optimizar creativo","Pausar o cambiar anuncio")))))</f>
        <v/>
      </c>
    </row>
    <row r="61" customFormat="false" ht="15" hidden="false" customHeight="false" outlineLevel="0" collapsed="false">
      <c r="A61" s="19"/>
      <c r="B61" s="18"/>
      <c r="C61" s="18"/>
      <c r="D61" s="18"/>
      <c r="E61" s="15"/>
      <c r="F61" s="21"/>
      <c r="G61" s="21"/>
      <c r="H61" s="21"/>
      <c r="I61" s="15"/>
      <c r="J61" s="22" t="str">
        <f aca="false">IF(OR(F61="",F61=0),"",G61/F61)</f>
        <v/>
      </c>
      <c r="K61" s="8" t="str">
        <f aca="false">IF(OR(G61="",G61=0),"",E61/G61)</f>
        <v/>
      </c>
      <c r="L61" s="8" t="str">
        <f aca="false">IF(OR(H61="",H61=0),"",E61/H61)</f>
        <v/>
      </c>
      <c r="M61" s="12" t="str">
        <f aca="false">IF(OR(E61="",E61=0),"",I61/E61)</f>
        <v/>
      </c>
      <c r="N61" s="8" t="str">
        <f aca="false">IF(E61="","",I61-E61)</f>
        <v/>
      </c>
      <c r="O61" s="14" t="str">
        <f aca="false">IF(E61="","",IF(E61&lt;5,"Seguir probando",IF(M61="","",IF(M61&gt;=3,"Escalar (subir presupuesto)",IF(M61&gt;=1.5,"Optimizar creativo","Pausar o cambiar anuncio")))))</f>
        <v/>
      </c>
    </row>
    <row r="62" customFormat="false" ht="15" hidden="false" customHeight="false" outlineLevel="0" collapsed="false">
      <c r="A62" s="19"/>
      <c r="B62" s="18"/>
      <c r="C62" s="18"/>
      <c r="D62" s="18"/>
      <c r="E62" s="15"/>
      <c r="F62" s="21"/>
      <c r="G62" s="21"/>
      <c r="H62" s="21"/>
      <c r="I62" s="15"/>
      <c r="J62" s="22" t="str">
        <f aca="false">IF(OR(F62="",F62=0),"",G62/F62)</f>
        <v/>
      </c>
      <c r="K62" s="8" t="str">
        <f aca="false">IF(OR(G62="",G62=0),"",E62/G62)</f>
        <v/>
      </c>
      <c r="L62" s="8" t="str">
        <f aca="false">IF(OR(H62="",H62=0),"",E62/H62)</f>
        <v/>
      </c>
      <c r="M62" s="12" t="str">
        <f aca="false">IF(OR(E62="",E62=0),"",I62/E62)</f>
        <v/>
      </c>
      <c r="N62" s="8" t="str">
        <f aca="false">IF(E62="","",I62-E62)</f>
        <v/>
      </c>
      <c r="O62" s="14" t="str">
        <f aca="false">IF(E62="","",IF(E62&lt;5,"Seguir probando",IF(M62="","",IF(M62&gt;=3,"Escalar (subir presupuesto)",IF(M62&gt;=1.5,"Optimizar creativo","Pausar o cambiar anuncio")))))</f>
        <v/>
      </c>
    </row>
    <row r="63" customFormat="false" ht="15" hidden="false" customHeight="false" outlineLevel="0" collapsed="false">
      <c r="A63" s="19"/>
      <c r="B63" s="18"/>
      <c r="C63" s="18"/>
      <c r="D63" s="18"/>
      <c r="E63" s="15"/>
      <c r="F63" s="21"/>
      <c r="G63" s="21"/>
      <c r="H63" s="21"/>
      <c r="I63" s="15"/>
      <c r="J63" s="22" t="str">
        <f aca="false">IF(OR(F63="",F63=0),"",G63/F63)</f>
        <v/>
      </c>
      <c r="K63" s="8" t="str">
        <f aca="false">IF(OR(G63="",G63=0),"",E63/G63)</f>
        <v/>
      </c>
      <c r="L63" s="8" t="str">
        <f aca="false">IF(OR(H63="",H63=0),"",E63/H63)</f>
        <v/>
      </c>
      <c r="M63" s="12" t="str">
        <f aca="false">IF(OR(E63="",E63=0),"",I63/E63)</f>
        <v/>
      </c>
      <c r="N63" s="8" t="str">
        <f aca="false">IF(E63="","",I63-E63)</f>
        <v/>
      </c>
      <c r="O63" s="14" t="str">
        <f aca="false">IF(E63="","",IF(E63&lt;5,"Seguir probando",IF(M63="","",IF(M63&gt;=3,"Escalar (subir presupuesto)",IF(M63&gt;=1.5,"Optimizar creativo","Pausar o cambiar anuncio")))))</f>
        <v/>
      </c>
    </row>
    <row r="64" customFormat="false" ht="15" hidden="false" customHeight="false" outlineLevel="0" collapsed="false">
      <c r="A64" s="19"/>
      <c r="B64" s="18"/>
      <c r="C64" s="18"/>
      <c r="D64" s="18"/>
      <c r="E64" s="15"/>
      <c r="F64" s="21"/>
      <c r="G64" s="21"/>
      <c r="H64" s="21"/>
      <c r="I64" s="15"/>
      <c r="J64" s="22" t="str">
        <f aca="false">IF(OR(F64="",F64=0),"",G64/F64)</f>
        <v/>
      </c>
      <c r="K64" s="8" t="str">
        <f aca="false">IF(OR(G64="",G64=0),"",E64/G64)</f>
        <v/>
      </c>
      <c r="L64" s="8" t="str">
        <f aca="false">IF(OR(H64="",H64=0),"",E64/H64)</f>
        <v/>
      </c>
      <c r="M64" s="12" t="str">
        <f aca="false">IF(OR(E64="",E64=0),"",I64/E64)</f>
        <v/>
      </c>
      <c r="N64" s="8" t="str">
        <f aca="false">IF(E64="","",I64-E64)</f>
        <v/>
      </c>
      <c r="O64" s="14" t="str">
        <f aca="false">IF(E64="","",IF(E64&lt;5,"Seguir probando",IF(M64="","",IF(M64&gt;=3,"Escalar (subir presupuesto)",IF(M64&gt;=1.5,"Optimizar creativo","Pausar o cambiar anuncio")))))</f>
        <v/>
      </c>
    </row>
    <row r="65" customFormat="false" ht="15" hidden="false" customHeight="false" outlineLevel="0" collapsed="false">
      <c r="A65" s="19"/>
      <c r="B65" s="18"/>
      <c r="C65" s="18"/>
      <c r="D65" s="18"/>
      <c r="E65" s="15"/>
      <c r="F65" s="21"/>
      <c r="G65" s="21"/>
      <c r="H65" s="21"/>
      <c r="I65" s="15"/>
      <c r="J65" s="22" t="str">
        <f aca="false">IF(OR(F65="",F65=0),"",G65/F65)</f>
        <v/>
      </c>
      <c r="K65" s="8" t="str">
        <f aca="false">IF(OR(G65="",G65=0),"",E65/G65)</f>
        <v/>
      </c>
      <c r="L65" s="8" t="str">
        <f aca="false">IF(OR(H65="",H65=0),"",E65/H65)</f>
        <v/>
      </c>
      <c r="M65" s="12" t="str">
        <f aca="false">IF(OR(E65="",E65=0),"",I65/E65)</f>
        <v/>
      </c>
      <c r="N65" s="8" t="str">
        <f aca="false">IF(E65="","",I65-E65)</f>
        <v/>
      </c>
      <c r="O65" s="14" t="str">
        <f aca="false">IF(E65="","",IF(E65&lt;5,"Seguir probando",IF(M65="","",IF(M65&gt;=3,"Escalar (subir presupuesto)",IF(M65&gt;=1.5,"Optimizar creativo","Pausar o cambiar anuncio")))))</f>
        <v/>
      </c>
    </row>
    <row r="66" customFormat="false" ht="15" hidden="false" customHeight="false" outlineLevel="0" collapsed="false">
      <c r="A66" s="19"/>
      <c r="B66" s="18"/>
      <c r="C66" s="18"/>
      <c r="D66" s="18"/>
      <c r="E66" s="15"/>
      <c r="F66" s="21"/>
      <c r="G66" s="21"/>
      <c r="H66" s="21"/>
      <c r="I66" s="15"/>
      <c r="J66" s="22" t="str">
        <f aca="false">IF(OR(F66="",F66=0),"",G66/F66)</f>
        <v/>
      </c>
      <c r="K66" s="8" t="str">
        <f aca="false">IF(OR(G66="",G66=0),"",E66/G66)</f>
        <v/>
      </c>
      <c r="L66" s="8" t="str">
        <f aca="false">IF(OR(H66="",H66=0),"",E66/H66)</f>
        <v/>
      </c>
      <c r="M66" s="12" t="str">
        <f aca="false">IF(OR(E66="",E66=0),"",I66/E66)</f>
        <v/>
      </c>
      <c r="N66" s="8" t="str">
        <f aca="false">IF(E66="","",I66-E66)</f>
        <v/>
      </c>
      <c r="O66" s="14" t="str">
        <f aca="false">IF(E66="","",IF(E66&lt;5,"Seguir probando",IF(M66="","",IF(M66&gt;=3,"Escalar (subir presupuesto)",IF(M66&gt;=1.5,"Optimizar creativo","Pausar o cambiar anuncio")))))</f>
        <v/>
      </c>
    </row>
    <row r="67" customFormat="false" ht="15" hidden="false" customHeight="false" outlineLevel="0" collapsed="false">
      <c r="A67" s="19"/>
      <c r="B67" s="18"/>
      <c r="C67" s="18"/>
      <c r="D67" s="18"/>
      <c r="E67" s="15"/>
      <c r="F67" s="21"/>
      <c r="G67" s="21"/>
      <c r="H67" s="21"/>
      <c r="I67" s="15"/>
      <c r="J67" s="22" t="str">
        <f aca="false">IF(OR(F67="",F67=0),"",G67/F67)</f>
        <v/>
      </c>
      <c r="K67" s="8" t="str">
        <f aca="false">IF(OR(G67="",G67=0),"",E67/G67)</f>
        <v/>
      </c>
      <c r="L67" s="8" t="str">
        <f aca="false">IF(OR(H67="",H67=0),"",E67/H67)</f>
        <v/>
      </c>
      <c r="M67" s="12" t="str">
        <f aca="false">IF(OR(E67="",E67=0),"",I67/E67)</f>
        <v/>
      </c>
      <c r="N67" s="8" t="str">
        <f aca="false">IF(E67="","",I67-E67)</f>
        <v/>
      </c>
      <c r="O67" s="14" t="str">
        <f aca="false">IF(E67="","",IF(E67&lt;5,"Seguir probando",IF(M67="","",IF(M67&gt;=3,"Escalar (subir presupuesto)",IF(M67&gt;=1.5,"Optimizar creativo","Pausar o cambiar anuncio")))))</f>
        <v/>
      </c>
    </row>
    <row r="68" customFormat="false" ht="15" hidden="false" customHeight="false" outlineLevel="0" collapsed="false">
      <c r="A68" s="19"/>
      <c r="B68" s="18"/>
      <c r="C68" s="18"/>
      <c r="D68" s="18"/>
      <c r="E68" s="15"/>
      <c r="F68" s="21"/>
      <c r="G68" s="21"/>
      <c r="H68" s="21"/>
      <c r="I68" s="15"/>
      <c r="J68" s="22" t="str">
        <f aca="false">IF(OR(F68="",F68=0),"",G68/F68)</f>
        <v/>
      </c>
      <c r="K68" s="8" t="str">
        <f aca="false">IF(OR(G68="",G68=0),"",E68/G68)</f>
        <v/>
      </c>
      <c r="L68" s="8" t="str">
        <f aca="false">IF(OR(H68="",H68=0),"",E68/H68)</f>
        <v/>
      </c>
      <c r="M68" s="12" t="str">
        <f aca="false">IF(OR(E68="",E68=0),"",I68/E68)</f>
        <v/>
      </c>
      <c r="N68" s="8" t="str">
        <f aca="false">IF(E68="","",I68-E68)</f>
        <v/>
      </c>
      <c r="O68" s="14" t="str">
        <f aca="false">IF(E68="","",IF(E68&lt;5,"Seguir probando",IF(M68="","",IF(M68&gt;=3,"Escalar (subir presupuesto)",IF(M68&gt;=1.5,"Optimizar creativo","Pausar o cambiar anuncio")))))</f>
        <v/>
      </c>
    </row>
    <row r="69" customFormat="false" ht="15" hidden="false" customHeight="false" outlineLevel="0" collapsed="false">
      <c r="A69" s="19"/>
      <c r="B69" s="18"/>
      <c r="C69" s="18"/>
      <c r="D69" s="18"/>
      <c r="E69" s="15"/>
      <c r="F69" s="21"/>
      <c r="G69" s="21"/>
      <c r="H69" s="21"/>
      <c r="I69" s="15"/>
      <c r="J69" s="22" t="str">
        <f aca="false">IF(OR(F69="",F69=0),"",G69/F69)</f>
        <v/>
      </c>
      <c r="K69" s="8" t="str">
        <f aca="false">IF(OR(G69="",G69=0),"",E69/G69)</f>
        <v/>
      </c>
      <c r="L69" s="8" t="str">
        <f aca="false">IF(OR(H69="",H69=0),"",E69/H69)</f>
        <v/>
      </c>
      <c r="M69" s="12" t="str">
        <f aca="false">IF(OR(E69="",E69=0),"",I69/E69)</f>
        <v/>
      </c>
      <c r="N69" s="8" t="str">
        <f aca="false">IF(E69="","",I69-E69)</f>
        <v/>
      </c>
      <c r="O69" s="14" t="str">
        <f aca="false">IF(E69="","",IF(E69&lt;5,"Seguir probando",IF(M69="","",IF(M69&gt;=3,"Escalar (subir presupuesto)",IF(M69&gt;=1.5,"Optimizar creativo","Pausar o cambiar anuncio")))))</f>
        <v/>
      </c>
    </row>
    <row r="70" customFormat="false" ht="15" hidden="false" customHeight="false" outlineLevel="0" collapsed="false">
      <c r="A70" s="19"/>
      <c r="B70" s="18"/>
      <c r="C70" s="18"/>
      <c r="D70" s="18"/>
      <c r="E70" s="15"/>
      <c r="F70" s="21"/>
      <c r="G70" s="21"/>
      <c r="H70" s="21"/>
      <c r="I70" s="15"/>
      <c r="J70" s="22" t="str">
        <f aca="false">IF(OR(F70="",F70=0),"",G70/F70)</f>
        <v/>
      </c>
      <c r="K70" s="8" t="str">
        <f aca="false">IF(OR(G70="",G70=0),"",E70/G70)</f>
        <v/>
      </c>
      <c r="L70" s="8" t="str">
        <f aca="false">IF(OR(H70="",H70=0),"",E70/H70)</f>
        <v/>
      </c>
      <c r="M70" s="12" t="str">
        <f aca="false">IF(OR(E70="",E70=0),"",I70/E70)</f>
        <v/>
      </c>
      <c r="N70" s="8" t="str">
        <f aca="false">IF(E70="","",I70-E70)</f>
        <v/>
      </c>
      <c r="O70" s="14" t="str">
        <f aca="false">IF(E70="","",IF(E70&lt;5,"Seguir probando",IF(M70="","",IF(M70&gt;=3,"Escalar (subir presupuesto)",IF(M70&gt;=1.5,"Optimizar creativo","Pausar o cambiar anuncio")))))</f>
        <v/>
      </c>
    </row>
    <row r="71" customFormat="false" ht="15" hidden="false" customHeight="false" outlineLevel="0" collapsed="false">
      <c r="A71" s="19"/>
      <c r="B71" s="18"/>
      <c r="C71" s="18"/>
      <c r="D71" s="18"/>
      <c r="E71" s="15"/>
      <c r="F71" s="21"/>
      <c r="G71" s="21"/>
      <c r="H71" s="21"/>
      <c r="I71" s="15"/>
      <c r="J71" s="22" t="str">
        <f aca="false">IF(OR(F71="",F71=0),"",G71/F71)</f>
        <v/>
      </c>
      <c r="K71" s="8" t="str">
        <f aca="false">IF(OR(G71="",G71=0),"",E71/G71)</f>
        <v/>
      </c>
      <c r="L71" s="8" t="str">
        <f aca="false">IF(OR(H71="",H71=0),"",E71/H71)</f>
        <v/>
      </c>
      <c r="M71" s="12" t="str">
        <f aca="false">IF(OR(E71="",E71=0),"",I71/E71)</f>
        <v/>
      </c>
      <c r="N71" s="8" t="str">
        <f aca="false">IF(E71="","",I71-E71)</f>
        <v/>
      </c>
      <c r="O71" s="14" t="str">
        <f aca="false">IF(E71="","",IF(E71&lt;5,"Seguir probando",IF(M71="","",IF(M71&gt;=3,"Escalar (subir presupuesto)",IF(M71&gt;=1.5,"Optimizar creativo","Pausar o cambiar anuncio")))))</f>
        <v/>
      </c>
    </row>
    <row r="72" customFormat="false" ht="15" hidden="false" customHeight="false" outlineLevel="0" collapsed="false">
      <c r="A72" s="19"/>
      <c r="B72" s="18"/>
      <c r="C72" s="18"/>
      <c r="D72" s="18"/>
      <c r="E72" s="15"/>
      <c r="F72" s="21"/>
      <c r="G72" s="21"/>
      <c r="H72" s="21"/>
      <c r="I72" s="15"/>
      <c r="J72" s="22" t="str">
        <f aca="false">IF(OR(F72="",F72=0),"",G72/F72)</f>
        <v/>
      </c>
      <c r="K72" s="8" t="str">
        <f aca="false">IF(OR(G72="",G72=0),"",E72/G72)</f>
        <v/>
      </c>
      <c r="L72" s="8" t="str">
        <f aca="false">IF(OR(H72="",H72=0),"",E72/H72)</f>
        <v/>
      </c>
      <c r="M72" s="12" t="str">
        <f aca="false">IF(OR(E72="",E72=0),"",I72/E72)</f>
        <v/>
      </c>
      <c r="N72" s="8" t="str">
        <f aca="false">IF(E72="","",I72-E72)</f>
        <v/>
      </c>
      <c r="O72" s="14" t="str">
        <f aca="false">IF(E72="","",IF(E72&lt;5,"Seguir probando",IF(M72="","",IF(M72&gt;=3,"Escalar (subir presupuesto)",IF(M72&gt;=1.5,"Optimizar creativo","Pausar o cambiar anuncio")))))</f>
        <v/>
      </c>
    </row>
    <row r="73" customFormat="false" ht="15" hidden="false" customHeight="false" outlineLevel="0" collapsed="false">
      <c r="A73" s="19"/>
      <c r="B73" s="18"/>
      <c r="C73" s="18"/>
      <c r="D73" s="18"/>
      <c r="E73" s="15"/>
      <c r="F73" s="21"/>
      <c r="G73" s="21"/>
      <c r="H73" s="21"/>
      <c r="I73" s="15"/>
      <c r="J73" s="22" t="str">
        <f aca="false">IF(OR(F73="",F73=0),"",G73/F73)</f>
        <v/>
      </c>
      <c r="K73" s="8" t="str">
        <f aca="false">IF(OR(G73="",G73=0),"",E73/G73)</f>
        <v/>
      </c>
      <c r="L73" s="8" t="str">
        <f aca="false">IF(OR(H73="",H73=0),"",E73/H73)</f>
        <v/>
      </c>
      <c r="M73" s="12" t="str">
        <f aca="false">IF(OR(E73="",E73=0),"",I73/E73)</f>
        <v/>
      </c>
      <c r="N73" s="8" t="str">
        <f aca="false">IF(E73="","",I73-E73)</f>
        <v/>
      </c>
      <c r="O73" s="14" t="str">
        <f aca="false">IF(E73="","",IF(E73&lt;5,"Seguir probando",IF(M73="","",IF(M73&gt;=3,"Escalar (subir presupuesto)",IF(M73&gt;=1.5,"Optimizar creativo","Pausar o cambiar anuncio")))))</f>
        <v/>
      </c>
    </row>
    <row r="74" customFormat="false" ht="15" hidden="false" customHeight="false" outlineLevel="0" collapsed="false">
      <c r="A74" s="19"/>
      <c r="B74" s="18"/>
      <c r="C74" s="18"/>
      <c r="D74" s="18"/>
      <c r="E74" s="15"/>
      <c r="F74" s="21"/>
      <c r="G74" s="21"/>
      <c r="H74" s="21"/>
      <c r="I74" s="15"/>
      <c r="J74" s="22" t="str">
        <f aca="false">IF(OR(F74="",F74=0),"",G74/F74)</f>
        <v/>
      </c>
      <c r="K74" s="8" t="str">
        <f aca="false">IF(OR(G74="",G74=0),"",E74/G74)</f>
        <v/>
      </c>
      <c r="L74" s="8" t="str">
        <f aca="false">IF(OR(H74="",H74=0),"",E74/H74)</f>
        <v/>
      </c>
      <c r="M74" s="12" t="str">
        <f aca="false">IF(OR(E74="",E74=0),"",I74/E74)</f>
        <v/>
      </c>
      <c r="N74" s="8" t="str">
        <f aca="false">IF(E74="","",I74-E74)</f>
        <v/>
      </c>
      <c r="O74" s="14" t="str">
        <f aca="false">IF(E74="","",IF(E74&lt;5,"Seguir probando",IF(M74="","",IF(M74&gt;=3,"Escalar (subir presupuesto)",IF(M74&gt;=1.5,"Optimizar creativo","Pausar o cambiar anuncio")))))</f>
        <v/>
      </c>
    </row>
    <row r="75" customFormat="false" ht="15" hidden="false" customHeight="false" outlineLevel="0" collapsed="false">
      <c r="A75" s="19"/>
      <c r="B75" s="18"/>
      <c r="C75" s="18"/>
      <c r="D75" s="18"/>
      <c r="E75" s="15"/>
      <c r="F75" s="21"/>
      <c r="G75" s="21"/>
      <c r="H75" s="21"/>
      <c r="I75" s="15"/>
      <c r="J75" s="22" t="str">
        <f aca="false">IF(OR(F75="",F75=0),"",G75/F75)</f>
        <v/>
      </c>
      <c r="K75" s="8" t="str">
        <f aca="false">IF(OR(G75="",G75=0),"",E75/G75)</f>
        <v/>
      </c>
      <c r="L75" s="8" t="str">
        <f aca="false">IF(OR(H75="",H75=0),"",E75/H75)</f>
        <v/>
      </c>
      <c r="M75" s="12" t="str">
        <f aca="false">IF(OR(E75="",E75=0),"",I75/E75)</f>
        <v/>
      </c>
      <c r="N75" s="8" t="str">
        <f aca="false">IF(E75="","",I75-E75)</f>
        <v/>
      </c>
      <c r="O75" s="14" t="str">
        <f aca="false">IF(E75="","",IF(E75&lt;5,"Seguir probando",IF(M75="","",IF(M75&gt;=3,"Escalar (subir presupuesto)",IF(M75&gt;=1.5,"Optimizar creativo","Pausar o cambiar anuncio")))))</f>
        <v/>
      </c>
    </row>
    <row r="76" customFormat="false" ht="15" hidden="false" customHeight="false" outlineLevel="0" collapsed="false">
      <c r="A76" s="19"/>
      <c r="B76" s="18"/>
      <c r="C76" s="18"/>
      <c r="D76" s="18"/>
      <c r="E76" s="15"/>
      <c r="F76" s="21"/>
      <c r="G76" s="21"/>
      <c r="H76" s="21"/>
      <c r="I76" s="15"/>
      <c r="J76" s="22" t="str">
        <f aca="false">IF(OR(F76="",F76=0),"",G76/F76)</f>
        <v/>
      </c>
      <c r="K76" s="8" t="str">
        <f aca="false">IF(OR(G76="",G76=0),"",E76/G76)</f>
        <v/>
      </c>
      <c r="L76" s="8" t="str">
        <f aca="false">IF(OR(H76="",H76=0),"",E76/H76)</f>
        <v/>
      </c>
      <c r="M76" s="12" t="str">
        <f aca="false">IF(OR(E76="",E76=0),"",I76/E76)</f>
        <v/>
      </c>
      <c r="N76" s="8" t="str">
        <f aca="false">IF(E76="","",I76-E76)</f>
        <v/>
      </c>
      <c r="O76" s="14" t="str">
        <f aca="false">IF(E76="","",IF(E76&lt;5,"Seguir probando",IF(M76="","",IF(M76&gt;=3,"Escalar (subir presupuesto)",IF(M76&gt;=1.5,"Optimizar creativo","Pausar o cambiar anuncio")))))</f>
        <v/>
      </c>
    </row>
    <row r="77" customFormat="false" ht="15" hidden="false" customHeight="false" outlineLevel="0" collapsed="false">
      <c r="A77" s="19"/>
      <c r="B77" s="18"/>
      <c r="C77" s="18"/>
      <c r="D77" s="18"/>
      <c r="E77" s="15"/>
      <c r="F77" s="21"/>
      <c r="G77" s="21"/>
      <c r="H77" s="21"/>
      <c r="I77" s="15"/>
      <c r="J77" s="22" t="str">
        <f aca="false">IF(OR(F77="",F77=0),"",G77/F77)</f>
        <v/>
      </c>
      <c r="K77" s="8" t="str">
        <f aca="false">IF(OR(G77="",G77=0),"",E77/G77)</f>
        <v/>
      </c>
      <c r="L77" s="8" t="str">
        <f aca="false">IF(OR(H77="",H77=0),"",E77/H77)</f>
        <v/>
      </c>
      <c r="M77" s="12" t="str">
        <f aca="false">IF(OR(E77="",E77=0),"",I77/E77)</f>
        <v/>
      </c>
      <c r="N77" s="8" t="str">
        <f aca="false">IF(E77="","",I77-E77)</f>
        <v/>
      </c>
      <c r="O77" s="14" t="str">
        <f aca="false">IF(E77="","",IF(E77&lt;5,"Seguir probando",IF(M77="","",IF(M77&gt;=3,"Escalar (subir presupuesto)",IF(M77&gt;=1.5,"Optimizar creativo","Pausar o cambiar anuncio")))))</f>
        <v/>
      </c>
    </row>
    <row r="78" customFormat="false" ht="15" hidden="false" customHeight="false" outlineLevel="0" collapsed="false">
      <c r="A78" s="19"/>
      <c r="B78" s="18"/>
      <c r="C78" s="18"/>
      <c r="D78" s="18"/>
      <c r="E78" s="15"/>
      <c r="F78" s="21"/>
      <c r="G78" s="21"/>
      <c r="H78" s="21"/>
      <c r="I78" s="15"/>
      <c r="J78" s="22" t="str">
        <f aca="false">IF(OR(F78="",F78=0),"",G78/F78)</f>
        <v/>
      </c>
      <c r="K78" s="8" t="str">
        <f aca="false">IF(OR(G78="",G78=0),"",E78/G78)</f>
        <v/>
      </c>
      <c r="L78" s="8" t="str">
        <f aca="false">IF(OR(H78="",H78=0),"",E78/H78)</f>
        <v/>
      </c>
      <c r="M78" s="12" t="str">
        <f aca="false">IF(OR(E78="",E78=0),"",I78/E78)</f>
        <v/>
      </c>
      <c r="N78" s="8" t="str">
        <f aca="false">IF(E78="","",I78-E78)</f>
        <v/>
      </c>
      <c r="O78" s="14" t="str">
        <f aca="false">IF(E78="","",IF(E78&lt;5,"Seguir probando",IF(M78="","",IF(M78&gt;=3,"Escalar (subir presupuesto)",IF(M78&gt;=1.5,"Optimizar creativo","Pausar o cambiar anuncio")))))</f>
        <v/>
      </c>
    </row>
    <row r="79" customFormat="false" ht="15" hidden="false" customHeight="false" outlineLevel="0" collapsed="false">
      <c r="A79" s="19"/>
      <c r="B79" s="18"/>
      <c r="C79" s="18"/>
      <c r="D79" s="18"/>
      <c r="E79" s="15"/>
      <c r="F79" s="21"/>
      <c r="G79" s="21"/>
      <c r="H79" s="21"/>
      <c r="I79" s="15"/>
      <c r="J79" s="22" t="str">
        <f aca="false">IF(OR(F79="",F79=0),"",G79/F79)</f>
        <v/>
      </c>
      <c r="K79" s="8" t="str">
        <f aca="false">IF(OR(G79="",G79=0),"",E79/G79)</f>
        <v/>
      </c>
      <c r="L79" s="8" t="str">
        <f aca="false">IF(OR(H79="",H79=0),"",E79/H79)</f>
        <v/>
      </c>
      <c r="M79" s="12" t="str">
        <f aca="false">IF(OR(E79="",E79=0),"",I79/E79)</f>
        <v/>
      </c>
      <c r="N79" s="8" t="str">
        <f aca="false">IF(E79="","",I79-E79)</f>
        <v/>
      </c>
      <c r="O79" s="14" t="str">
        <f aca="false">IF(E79="","",IF(E79&lt;5,"Seguir probando",IF(M79="","",IF(M79&gt;=3,"Escalar (subir presupuesto)",IF(M79&gt;=1.5,"Optimizar creativo","Pausar o cambiar anuncio")))))</f>
        <v/>
      </c>
    </row>
    <row r="80" customFormat="false" ht="15" hidden="false" customHeight="false" outlineLevel="0" collapsed="false">
      <c r="A80" s="19"/>
      <c r="B80" s="18"/>
      <c r="C80" s="18"/>
      <c r="D80" s="18"/>
      <c r="E80" s="15"/>
      <c r="F80" s="21"/>
      <c r="G80" s="21"/>
      <c r="H80" s="21"/>
      <c r="I80" s="15"/>
      <c r="J80" s="22" t="str">
        <f aca="false">IF(OR(F80="",F80=0),"",G80/F80)</f>
        <v/>
      </c>
      <c r="K80" s="8" t="str">
        <f aca="false">IF(OR(G80="",G80=0),"",E80/G80)</f>
        <v/>
      </c>
      <c r="L80" s="8" t="str">
        <f aca="false">IF(OR(H80="",H80=0),"",E80/H80)</f>
        <v/>
      </c>
      <c r="M80" s="12" t="str">
        <f aca="false">IF(OR(E80="",E80=0),"",I80/E80)</f>
        <v/>
      </c>
      <c r="N80" s="8" t="str">
        <f aca="false">IF(E80="","",I80-E80)</f>
        <v/>
      </c>
      <c r="O80" s="14" t="str">
        <f aca="false">IF(E80="","",IF(E80&lt;5,"Seguir probando",IF(M80="","",IF(M80&gt;=3,"Escalar (subir presupuesto)",IF(M80&gt;=1.5,"Optimizar creativo","Pausar o cambiar anuncio")))))</f>
        <v/>
      </c>
    </row>
    <row r="81" customFormat="false" ht="15" hidden="false" customHeight="false" outlineLevel="0" collapsed="false">
      <c r="A81" s="19"/>
      <c r="B81" s="18"/>
      <c r="C81" s="18"/>
      <c r="D81" s="18"/>
      <c r="E81" s="15"/>
      <c r="F81" s="21"/>
      <c r="G81" s="21"/>
      <c r="H81" s="21"/>
      <c r="I81" s="15"/>
      <c r="J81" s="22" t="str">
        <f aca="false">IF(OR(F81="",F81=0),"",G81/F81)</f>
        <v/>
      </c>
      <c r="K81" s="8" t="str">
        <f aca="false">IF(OR(G81="",G81=0),"",E81/G81)</f>
        <v/>
      </c>
      <c r="L81" s="8" t="str">
        <f aca="false">IF(OR(H81="",H81=0),"",E81/H81)</f>
        <v/>
      </c>
      <c r="M81" s="12" t="str">
        <f aca="false">IF(OR(E81="",E81=0),"",I81/E81)</f>
        <v/>
      </c>
      <c r="N81" s="8" t="str">
        <f aca="false">IF(E81="","",I81-E81)</f>
        <v/>
      </c>
      <c r="O81" s="14" t="str">
        <f aca="false">IF(E81="","",IF(E81&lt;5,"Seguir probando",IF(M81="","",IF(M81&gt;=3,"Escalar (subir presupuesto)",IF(M81&gt;=1.5,"Optimizar creativo","Pausar o cambiar anuncio")))))</f>
        <v/>
      </c>
    </row>
    <row r="82" customFormat="false" ht="15" hidden="false" customHeight="false" outlineLevel="0" collapsed="false">
      <c r="A82" s="19"/>
      <c r="B82" s="18"/>
      <c r="C82" s="18"/>
      <c r="D82" s="18"/>
      <c r="E82" s="15"/>
      <c r="F82" s="21"/>
      <c r="G82" s="21"/>
      <c r="H82" s="21"/>
      <c r="I82" s="15"/>
      <c r="J82" s="22" t="str">
        <f aca="false">IF(OR(F82="",F82=0),"",G82/F82)</f>
        <v/>
      </c>
      <c r="K82" s="8" t="str">
        <f aca="false">IF(OR(G82="",G82=0),"",E82/G82)</f>
        <v/>
      </c>
      <c r="L82" s="8" t="str">
        <f aca="false">IF(OR(H82="",H82=0),"",E82/H82)</f>
        <v/>
      </c>
      <c r="M82" s="12" t="str">
        <f aca="false">IF(OR(E82="",E82=0),"",I82/E82)</f>
        <v/>
      </c>
      <c r="N82" s="8" t="str">
        <f aca="false">IF(E82="","",I82-E82)</f>
        <v/>
      </c>
      <c r="O82" s="14" t="str">
        <f aca="false">IF(E82="","",IF(E82&lt;5,"Seguir probando",IF(M82="","",IF(M82&gt;=3,"Escalar (subir presupuesto)",IF(M82&gt;=1.5,"Optimizar creativo","Pausar o cambiar anuncio")))))</f>
        <v/>
      </c>
    </row>
    <row r="83" customFormat="false" ht="15" hidden="false" customHeight="false" outlineLevel="0" collapsed="false">
      <c r="A83" s="19"/>
      <c r="B83" s="18"/>
      <c r="C83" s="18"/>
      <c r="D83" s="18"/>
      <c r="E83" s="15"/>
      <c r="F83" s="21"/>
      <c r="G83" s="21"/>
      <c r="H83" s="21"/>
      <c r="I83" s="15"/>
      <c r="J83" s="22" t="str">
        <f aca="false">IF(OR(F83="",F83=0),"",G83/F83)</f>
        <v/>
      </c>
      <c r="K83" s="8" t="str">
        <f aca="false">IF(OR(G83="",G83=0),"",E83/G83)</f>
        <v/>
      </c>
      <c r="L83" s="8" t="str">
        <f aca="false">IF(OR(H83="",H83=0),"",E83/H83)</f>
        <v/>
      </c>
      <c r="M83" s="12" t="str">
        <f aca="false">IF(OR(E83="",E83=0),"",I83/E83)</f>
        <v/>
      </c>
      <c r="N83" s="8" t="str">
        <f aca="false">IF(E83="","",I83-E83)</f>
        <v/>
      </c>
      <c r="O83" s="14" t="str">
        <f aca="false">IF(E83="","",IF(E83&lt;5,"Seguir probando",IF(M83="","",IF(M83&gt;=3,"Escalar (subir presupuesto)",IF(M83&gt;=1.5,"Optimizar creativo","Pausar o cambiar anuncio")))))</f>
        <v/>
      </c>
    </row>
    <row r="84" customFormat="false" ht="15" hidden="false" customHeight="false" outlineLevel="0" collapsed="false">
      <c r="A84" s="19"/>
      <c r="B84" s="18"/>
      <c r="C84" s="18"/>
      <c r="D84" s="18"/>
      <c r="E84" s="15"/>
      <c r="F84" s="21"/>
      <c r="G84" s="21"/>
      <c r="H84" s="21"/>
      <c r="I84" s="15"/>
      <c r="J84" s="22" t="str">
        <f aca="false">IF(OR(F84="",F84=0),"",G84/F84)</f>
        <v/>
      </c>
      <c r="K84" s="8" t="str">
        <f aca="false">IF(OR(G84="",G84=0),"",E84/G84)</f>
        <v/>
      </c>
      <c r="L84" s="8" t="str">
        <f aca="false">IF(OR(H84="",H84=0),"",E84/H84)</f>
        <v/>
      </c>
      <c r="M84" s="12" t="str">
        <f aca="false">IF(OR(E84="",E84=0),"",I84/E84)</f>
        <v/>
      </c>
      <c r="N84" s="8" t="str">
        <f aca="false">IF(E84="","",I84-E84)</f>
        <v/>
      </c>
      <c r="O84" s="14" t="str">
        <f aca="false">IF(E84="","",IF(E84&lt;5,"Seguir probando",IF(M84="","",IF(M84&gt;=3,"Escalar (subir presupuesto)",IF(M84&gt;=1.5,"Optimizar creativo","Pausar o cambiar anuncio")))))</f>
        <v/>
      </c>
    </row>
    <row r="85" customFormat="false" ht="15" hidden="false" customHeight="false" outlineLevel="0" collapsed="false">
      <c r="A85" s="19"/>
      <c r="B85" s="18"/>
      <c r="C85" s="18"/>
      <c r="D85" s="18"/>
      <c r="E85" s="15"/>
      <c r="F85" s="21"/>
      <c r="G85" s="21"/>
      <c r="H85" s="21"/>
      <c r="I85" s="15"/>
      <c r="J85" s="22" t="str">
        <f aca="false">IF(OR(F85="",F85=0),"",G85/F85)</f>
        <v/>
      </c>
      <c r="K85" s="8" t="str">
        <f aca="false">IF(OR(G85="",G85=0),"",E85/G85)</f>
        <v/>
      </c>
      <c r="L85" s="8" t="str">
        <f aca="false">IF(OR(H85="",H85=0),"",E85/H85)</f>
        <v/>
      </c>
      <c r="M85" s="12" t="str">
        <f aca="false">IF(OR(E85="",E85=0),"",I85/E85)</f>
        <v/>
      </c>
      <c r="N85" s="8" t="str">
        <f aca="false">IF(E85="","",I85-E85)</f>
        <v/>
      </c>
      <c r="O85" s="14" t="str">
        <f aca="false">IF(E85="","",IF(E85&lt;5,"Seguir probando",IF(M85="","",IF(M85&gt;=3,"Escalar (subir presupuesto)",IF(M85&gt;=1.5,"Optimizar creativo","Pausar o cambiar anuncio")))))</f>
        <v/>
      </c>
    </row>
    <row r="86" customFormat="false" ht="15" hidden="false" customHeight="false" outlineLevel="0" collapsed="false">
      <c r="A86" s="19"/>
      <c r="B86" s="18"/>
      <c r="C86" s="18"/>
      <c r="D86" s="18"/>
      <c r="E86" s="15"/>
      <c r="F86" s="21"/>
      <c r="G86" s="21"/>
      <c r="H86" s="21"/>
      <c r="I86" s="15"/>
      <c r="J86" s="22" t="str">
        <f aca="false">IF(OR(F86="",F86=0),"",G86/F86)</f>
        <v/>
      </c>
      <c r="K86" s="8" t="str">
        <f aca="false">IF(OR(G86="",G86=0),"",E86/G86)</f>
        <v/>
      </c>
      <c r="L86" s="8" t="str">
        <f aca="false">IF(OR(H86="",H86=0),"",E86/H86)</f>
        <v/>
      </c>
      <c r="M86" s="12" t="str">
        <f aca="false">IF(OR(E86="",E86=0),"",I86/E86)</f>
        <v/>
      </c>
      <c r="N86" s="8" t="str">
        <f aca="false">IF(E86="","",I86-E86)</f>
        <v/>
      </c>
      <c r="O86" s="14" t="str">
        <f aca="false">IF(E86="","",IF(E86&lt;5,"Seguir probando",IF(M86="","",IF(M86&gt;=3,"Escalar (subir presupuesto)",IF(M86&gt;=1.5,"Optimizar creativo","Pausar o cambiar anuncio")))))</f>
        <v/>
      </c>
    </row>
    <row r="87" customFormat="false" ht="15" hidden="false" customHeight="false" outlineLevel="0" collapsed="false">
      <c r="A87" s="19"/>
      <c r="B87" s="18"/>
      <c r="C87" s="18"/>
      <c r="D87" s="18"/>
      <c r="E87" s="15"/>
      <c r="F87" s="21"/>
      <c r="G87" s="21"/>
      <c r="H87" s="21"/>
      <c r="I87" s="15"/>
      <c r="J87" s="22" t="str">
        <f aca="false">IF(OR(F87="",F87=0),"",G87/F87)</f>
        <v/>
      </c>
      <c r="K87" s="8" t="str">
        <f aca="false">IF(OR(G87="",G87=0),"",E87/G87)</f>
        <v/>
      </c>
      <c r="L87" s="8" t="str">
        <f aca="false">IF(OR(H87="",H87=0),"",E87/H87)</f>
        <v/>
      </c>
      <c r="M87" s="12" t="str">
        <f aca="false">IF(OR(E87="",E87=0),"",I87/E87)</f>
        <v/>
      </c>
      <c r="N87" s="8" t="str">
        <f aca="false">IF(E87="","",I87-E87)</f>
        <v/>
      </c>
      <c r="O87" s="14" t="str">
        <f aca="false">IF(E87="","",IF(E87&lt;5,"Seguir probando",IF(M87="","",IF(M87&gt;=3,"Escalar (subir presupuesto)",IF(M87&gt;=1.5,"Optimizar creativo","Pausar o cambiar anuncio")))))</f>
        <v/>
      </c>
    </row>
    <row r="88" customFormat="false" ht="15" hidden="false" customHeight="false" outlineLevel="0" collapsed="false">
      <c r="A88" s="19"/>
      <c r="B88" s="18"/>
      <c r="C88" s="18"/>
      <c r="D88" s="18"/>
      <c r="E88" s="15"/>
      <c r="F88" s="21"/>
      <c r="G88" s="21"/>
      <c r="H88" s="21"/>
      <c r="I88" s="15"/>
      <c r="J88" s="22" t="str">
        <f aca="false">IF(OR(F88="",F88=0),"",G88/F88)</f>
        <v/>
      </c>
      <c r="K88" s="8" t="str">
        <f aca="false">IF(OR(G88="",G88=0),"",E88/G88)</f>
        <v/>
      </c>
      <c r="L88" s="8" t="str">
        <f aca="false">IF(OR(H88="",H88=0),"",E88/H88)</f>
        <v/>
      </c>
      <c r="M88" s="12" t="str">
        <f aca="false">IF(OR(E88="",E88=0),"",I88/E88)</f>
        <v/>
      </c>
      <c r="N88" s="8" t="str">
        <f aca="false">IF(E88="","",I88-E88)</f>
        <v/>
      </c>
      <c r="O88" s="14" t="str">
        <f aca="false">IF(E88="","",IF(E88&lt;5,"Seguir probando",IF(M88="","",IF(M88&gt;=3,"Escalar (subir presupuesto)",IF(M88&gt;=1.5,"Optimizar creativo","Pausar o cambiar anuncio")))))</f>
        <v/>
      </c>
    </row>
    <row r="89" customFormat="false" ht="15" hidden="false" customHeight="false" outlineLevel="0" collapsed="false">
      <c r="A89" s="19"/>
      <c r="B89" s="18"/>
      <c r="C89" s="18"/>
      <c r="D89" s="18"/>
      <c r="E89" s="15"/>
      <c r="F89" s="21"/>
      <c r="G89" s="21"/>
      <c r="H89" s="21"/>
      <c r="I89" s="15"/>
      <c r="J89" s="22" t="str">
        <f aca="false">IF(OR(F89="",F89=0),"",G89/F89)</f>
        <v/>
      </c>
      <c r="K89" s="8" t="str">
        <f aca="false">IF(OR(G89="",G89=0),"",E89/G89)</f>
        <v/>
      </c>
      <c r="L89" s="8" t="str">
        <f aca="false">IF(OR(H89="",H89=0),"",E89/H89)</f>
        <v/>
      </c>
      <c r="M89" s="12" t="str">
        <f aca="false">IF(OR(E89="",E89=0),"",I89/E89)</f>
        <v/>
      </c>
      <c r="N89" s="8" t="str">
        <f aca="false">IF(E89="","",I89-E89)</f>
        <v/>
      </c>
      <c r="O89" s="14" t="str">
        <f aca="false">IF(E89="","",IF(E89&lt;5,"Seguir probando",IF(M89="","",IF(M89&gt;=3,"Escalar (subir presupuesto)",IF(M89&gt;=1.5,"Optimizar creativo","Pausar o cambiar anuncio")))))</f>
        <v/>
      </c>
    </row>
    <row r="90" customFormat="false" ht="15" hidden="false" customHeight="false" outlineLevel="0" collapsed="false">
      <c r="A90" s="19"/>
      <c r="B90" s="18"/>
      <c r="C90" s="18"/>
      <c r="D90" s="18"/>
      <c r="E90" s="15"/>
      <c r="F90" s="21"/>
      <c r="G90" s="21"/>
      <c r="H90" s="21"/>
      <c r="I90" s="15"/>
      <c r="J90" s="22" t="str">
        <f aca="false">IF(OR(F90="",F90=0),"",G90/F90)</f>
        <v/>
      </c>
      <c r="K90" s="8" t="str">
        <f aca="false">IF(OR(G90="",G90=0),"",E90/G90)</f>
        <v/>
      </c>
      <c r="L90" s="8" t="str">
        <f aca="false">IF(OR(H90="",H90=0),"",E90/H90)</f>
        <v/>
      </c>
      <c r="M90" s="12" t="str">
        <f aca="false">IF(OR(E90="",E90=0),"",I90/E90)</f>
        <v/>
      </c>
      <c r="N90" s="8" t="str">
        <f aca="false">IF(E90="","",I90-E90)</f>
        <v/>
      </c>
      <c r="O90" s="14" t="str">
        <f aca="false">IF(E90="","",IF(E90&lt;5,"Seguir probando",IF(M90="","",IF(M90&gt;=3,"Escalar (subir presupuesto)",IF(M90&gt;=1.5,"Optimizar creativo","Pausar o cambiar anuncio")))))</f>
        <v/>
      </c>
    </row>
    <row r="91" customFormat="false" ht="15" hidden="false" customHeight="false" outlineLevel="0" collapsed="false">
      <c r="A91" s="19"/>
      <c r="B91" s="18"/>
      <c r="C91" s="18"/>
      <c r="D91" s="18"/>
      <c r="E91" s="15"/>
      <c r="F91" s="21"/>
      <c r="G91" s="21"/>
      <c r="H91" s="21"/>
      <c r="I91" s="15"/>
      <c r="J91" s="22" t="str">
        <f aca="false">IF(OR(F91="",F91=0),"",G91/F91)</f>
        <v/>
      </c>
      <c r="K91" s="8" t="str">
        <f aca="false">IF(OR(G91="",G91=0),"",E91/G91)</f>
        <v/>
      </c>
      <c r="L91" s="8" t="str">
        <f aca="false">IF(OR(H91="",H91=0),"",E91/H91)</f>
        <v/>
      </c>
      <c r="M91" s="12" t="str">
        <f aca="false">IF(OR(E91="",E91=0),"",I91/E91)</f>
        <v/>
      </c>
      <c r="N91" s="8" t="str">
        <f aca="false">IF(E91="","",I91-E91)</f>
        <v/>
      </c>
      <c r="O91" s="14" t="str">
        <f aca="false">IF(E91="","",IF(E91&lt;5,"Seguir probando",IF(M91="","",IF(M91&gt;=3,"Escalar (subir presupuesto)",IF(M91&gt;=1.5,"Optimizar creativo","Pausar o cambiar anuncio")))))</f>
        <v/>
      </c>
    </row>
    <row r="92" customFormat="false" ht="15" hidden="false" customHeight="false" outlineLevel="0" collapsed="false">
      <c r="A92" s="19"/>
      <c r="B92" s="18"/>
      <c r="C92" s="18"/>
      <c r="D92" s="18"/>
      <c r="E92" s="15"/>
      <c r="F92" s="21"/>
      <c r="G92" s="21"/>
      <c r="H92" s="21"/>
      <c r="I92" s="15"/>
      <c r="J92" s="22" t="str">
        <f aca="false">IF(OR(F92="",F92=0),"",G92/F92)</f>
        <v/>
      </c>
      <c r="K92" s="8" t="str">
        <f aca="false">IF(OR(G92="",G92=0),"",E92/G92)</f>
        <v/>
      </c>
      <c r="L92" s="8" t="str">
        <f aca="false">IF(OR(H92="",H92=0),"",E92/H92)</f>
        <v/>
      </c>
      <c r="M92" s="12" t="str">
        <f aca="false">IF(OR(E92="",E92=0),"",I92/E92)</f>
        <v/>
      </c>
      <c r="N92" s="8" t="str">
        <f aca="false">IF(E92="","",I92-E92)</f>
        <v/>
      </c>
      <c r="O92" s="14" t="str">
        <f aca="false">IF(E92="","",IF(E92&lt;5,"Seguir probando",IF(M92="","",IF(M92&gt;=3,"Escalar (subir presupuesto)",IF(M92&gt;=1.5,"Optimizar creativo","Pausar o cambiar anuncio")))))</f>
        <v/>
      </c>
    </row>
    <row r="93" customFormat="false" ht="15" hidden="false" customHeight="false" outlineLevel="0" collapsed="false">
      <c r="A93" s="19"/>
      <c r="B93" s="18"/>
      <c r="C93" s="18"/>
      <c r="D93" s="18"/>
      <c r="E93" s="15"/>
      <c r="F93" s="21"/>
      <c r="G93" s="21"/>
      <c r="H93" s="21"/>
      <c r="I93" s="15"/>
      <c r="J93" s="22" t="str">
        <f aca="false">IF(OR(F93="",F93=0),"",G93/F93)</f>
        <v/>
      </c>
      <c r="K93" s="8" t="str">
        <f aca="false">IF(OR(G93="",G93=0),"",E93/G93)</f>
        <v/>
      </c>
      <c r="L93" s="8" t="str">
        <f aca="false">IF(OR(H93="",H93=0),"",E93/H93)</f>
        <v/>
      </c>
      <c r="M93" s="12" t="str">
        <f aca="false">IF(OR(E93="",E93=0),"",I93/E93)</f>
        <v/>
      </c>
      <c r="N93" s="8" t="str">
        <f aca="false">IF(E93="","",I93-E93)</f>
        <v/>
      </c>
      <c r="O93" s="14" t="str">
        <f aca="false">IF(E93="","",IF(E93&lt;5,"Seguir probando",IF(M93="","",IF(M93&gt;=3,"Escalar (subir presupuesto)",IF(M93&gt;=1.5,"Optimizar creativo","Pausar o cambiar anuncio")))))</f>
        <v/>
      </c>
    </row>
    <row r="94" customFormat="false" ht="15" hidden="false" customHeight="false" outlineLevel="0" collapsed="false">
      <c r="A94" s="19"/>
      <c r="B94" s="18"/>
      <c r="C94" s="18"/>
      <c r="D94" s="18"/>
      <c r="E94" s="15"/>
      <c r="F94" s="21"/>
      <c r="G94" s="21"/>
      <c r="H94" s="21"/>
      <c r="I94" s="15"/>
      <c r="J94" s="22" t="str">
        <f aca="false">IF(OR(F94="",F94=0),"",G94/F94)</f>
        <v/>
      </c>
      <c r="K94" s="8" t="str">
        <f aca="false">IF(OR(G94="",G94=0),"",E94/G94)</f>
        <v/>
      </c>
      <c r="L94" s="8" t="str">
        <f aca="false">IF(OR(H94="",H94=0),"",E94/H94)</f>
        <v/>
      </c>
      <c r="M94" s="12" t="str">
        <f aca="false">IF(OR(E94="",E94=0),"",I94/E94)</f>
        <v/>
      </c>
      <c r="N94" s="8" t="str">
        <f aca="false">IF(E94="","",I94-E94)</f>
        <v/>
      </c>
      <c r="O94" s="14" t="str">
        <f aca="false">IF(E94="","",IF(E94&lt;5,"Seguir probando",IF(M94="","",IF(M94&gt;=3,"Escalar (subir presupuesto)",IF(M94&gt;=1.5,"Optimizar creativo","Pausar o cambiar anuncio")))))</f>
        <v/>
      </c>
    </row>
    <row r="95" customFormat="false" ht="15" hidden="false" customHeight="false" outlineLevel="0" collapsed="false">
      <c r="A95" s="19"/>
      <c r="B95" s="18"/>
      <c r="C95" s="18"/>
      <c r="D95" s="18"/>
      <c r="E95" s="15"/>
      <c r="F95" s="21"/>
      <c r="G95" s="21"/>
      <c r="H95" s="21"/>
      <c r="I95" s="15"/>
      <c r="J95" s="22" t="str">
        <f aca="false">IF(OR(F95="",F95=0),"",G95/F95)</f>
        <v/>
      </c>
      <c r="K95" s="8" t="str">
        <f aca="false">IF(OR(G95="",G95=0),"",E95/G95)</f>
        <v/>
      </c>
      <c r="L95" s="8" t="str">
        <f aca="false">IF(OR(H95="",H95=0),"",E95/H95)</f>
        <v/>
      </c>
      <c r="M95" s="12" t="str">
        <f aca="false">IF(OR(E95="",E95=0),"",I95/E95)</f>
        <v/>
      </c>
      <c r="N95" s="8" t="str">
        <f aca="false">IF(E95="","",I95-E95)</f>
        <v/>
      </c>
      <c r="O95" s="14" t="str">
        <f aca="false">IF(E95="","",IF(E95&lt;5,"Seguir probando",IF(M95="","",IF(M95&gt;=3,"Escalar (subir presupuesto)",IF(M95&gt;=1.5,"Optimizar creativo","Pausar o cambiar anuncio")))))</f>
        <v/>
      </c>
    </row>
    <row r="96" customFormat="false" ht="15" hidden="false" customHeight="false" outlineLevel="0" collapsed="false">
      <c r="A96" s="19"/>
      <c r="B96" s="18"/>
      <c r="C96" s="18"/>
      <c r="D96" s="18"/>
      <c r="E96" s="15"/>
      <c r="F96" s="21"/>
      <c r="G96" s="21"/>
      <c r="H96" s="21"/>
      <c r="I96" s="15"/>
      <c r="J96" s="22" t="str">
        <f aca="false">IF(OR(F96="",F96=0),"",G96/F96)</f>
        <v/>
      </c>
      <c r="K96" s="8" t="str">
        <f aca="false">IF(OR(G96="",G96=0),"",E96/G96)</f>
        <v/>
      </c>
      <c r="L96" s="8" t="str">
        <f aca="false">IF(OR(H96="",H96=0),"",E96/H96)</f>
        <v/>
      </c>
      <c r="M96" s="12" t="str">
        <f aca="false">IF(OR(E96="",E96=0),"",I96/E96)</f>
        <v/>
      </c>
      <c r="N96" s="8" t="str">
        <f aca="false">IF(E96="","",I96-E96)</f>
        <v/>
      </c>
      <c r="O96" s="14" t="str">
        <f aca="false">IF(E96="","",IF(E96&lt;5,"Seguir probando",IF(M96="","",IF(M96&gt;=3,"Escalar (subir presupuesto)",IF(M96&gt;=1.5,"Optimizar creativo","Pausar o cambiar anuncio")))))</f>
        <v/>
      </c>
    </row>
    <row r="97" customFormat="false" ht="15" hidden="false" customHeight="false" outlineLevel="0" collapsed="false">
      <c r="A97" s="19"/>
      <c r="B97" s="18"/>
      <c r="C97" s="18"/>
      <c r="D97" s="18"/>
      <c r="E97" s="15"/>
      <c r="F97" s="21"/>
      <c r="G97" s="21"/>
      <c r="H97" s="21"/>
      <c r="I97" s="15"/>
      <c r="J97" s="22" t="str">
        <f aca="false">IF(OR(F97="",F97=0),"",G97/F97)</f>
        <v/>
      </c>
      <c r="K97" s="8" t="str">
        <f aca="false">IF(OR(G97="",G97=0),"",E97/G97)</f>
        <v/>
      </c>
      <c r="L97" s="8" t="str">
        <f aca="false">IF(OR(H97="",H97=0),"",E97/H97)</f>
        <v/>
      </c>
      <c r="M97" s="12" t="str">
        <f aca="false">IF(OR(E97="",E97=0),"",I97/E97)</f>
        <v/>
      </c>
      <c r="N97" s="8" t="str">
        <f aca="false">IF(E97="","",I97-E97)</f>
        <v/>
      </c>
      <c r="O97" s="14" t="str">
        <f aca="false">IF(E97="","",IF(E97&lt;5,"Seguir probando",IF(M97="","",IF(M97&gt;=3,"Escalar (subir presupuesto)",IF(M97&gt;=1.5,"Optimizar creativo","Pausar o cambiar anuncio")))))</f>
        <v/>
      </c>
    </row>
    <row r="98" customFormat="false" ht="15" hidden="false" customHeight="false" outlineLevel="0" collapsed="false">
      <c r="A98" s="19"/>
      <c r="B98" s="18"/>
      <c r="C98" s="18"/>
      <c r="D98" s="18"/>
      <c r="E98" s="15"/>
      <c r="F98" s="21"/>
      <c r="G98" s="21"/>
      <c r="H98" s="21"/>
      <c r="I98" s="15"/>
      <c r="J98" s="22" t="str">
        <f aca="false">IF(OR(F98="",F98=0),"",G98/F98)</f>
        <v/>
      </c>
      <c r="K98" s="8" t="str">
        <f aca="false">IF(OR(G98="",G98=0),"",E98/G98)</f>
        <v/>
      </c>
      <c r="L98" s="8" t="str">
        <f aca="false">IF(OR(H98="",H98=0),"",E98/H98)</f>
        <v/>
      </c>
      <c r="M98" s="12" t="str">
        <f aca="false">IF(OR(E98="",E98=0),"",I98/E98)</f>
        <v/>
      </c>
      <c r="N98" s="8" t="str">
        <f aca="false">IF(E98="","",I98-E98)</f>
        <v/>
      </c>
      <c r="O98" s="14" t="str">
        <f aca="false">IF(E98="","",IF(E98&lt;5,"Seguir probando",IF(M98="","",IF(M98&gt;=3,"Escalar (subir presupuesto)",IF(M98&gt;=1.5,"Optimizar creativo","Pausar o cambiar anuncio")))))</f>
        <v/>
      </c>
    </row>
    <row r="99" customFormat="false" ht="15" hidden="false" customHeight="false" outlineLevel="0" collapsed="false">
      <c r="A99" s="19"/>
      <c r="B99" s="18"/>
      <c r="C99" s="18"/>
      <c r="D99" s="18"/>
      <c r="E99" s="15"/>
      <c r="F99" s="21"/>
      <c r="G99" s="21"/>
      <c r="H99" s="21"/>
      <c r="I99" s="15"/>
      <c r="J99" s="22" t="str">
        <f aca="false">IF(OR(F99="",F99=0),"",G99/F99)</f>
        <v/>
      </c>
      <c r="K99" s="8" t="str">
        <f aca="false">IF(OR(G99="",G99=0),"",E99/G99)</f>
        <v/>
      </c>
      <c r="L99" s="8" t="str">
        <f aca="false">IF(OR(H99="",H99=0),"",E99/H99)</f>
        <v/>
      </c>
      <c r="M99" s="12" t="str">
        <f aca="false">IF(OR(E99="",E99=0),"",I99/E99)</f>
        <v/>
      </c>
      <c r="N99" s="8" t="str">
        <f aca="false">IF(E99="","",I99-E99)</f>
        <v/>
      </c>
      <c r="O99" s="14" t="str">
        <f aca="false">IF(E99="","",IF(E99&lt;5,"Seguir probando",IF(M99="","",IF(M99&gt;=3,"Escalar (subir presupuesto)",IF(M99&gt;=1.5,"Optimizar creativo","Pausar o cambiar anuncio")))))</f>
        <v/>
      </c>
    </row>
    <row r="100" customFormat="false" ht="15" hidden="false" customHeight="false" outlineLevel="0" collapsed="false">
      <c r="A100" s="19"/>
      <c r="B100" s="18"/>
      <c r="C100" s="18"/>
      <c r="D100" s="18"/>
      <c r="E100" s="15"/>
      <c r="F100" s="21"/>
      <c r="G100" s="21"/>
      <c r="H100" s="21"/>
      <c r="I100" s="15"/>
      <c r="J100" s="22" t="str">
        <f aca="false">IF(OR(F100="",F100=0),"",G100/F100)</f>
        <v/>
      </c>
      <c r="K100" s="8" t="str">
        <f aca="false">IF(OR(G100="",G100=0),"",E100/G100)</f>
        <v/>
      </c>
      <c r="L100" s="8" t="str">
        <f aca="false">IF(OR(H100="",H100=0),"",E100/H100)</f>
        <v/>
      </c>
      <c r="M100" s="12" t="str">
        <f aca="false">IF(OR(E100="",E100=0),"",I100/E100)</f>
        <v/>
      </c>
      <c r="N100" s="8" t="str">
        <f aca="false">IF(E100="","",I100-E100)</f>
        <v/>
      </c>
      <c r="O100" s="14" t="str">
        <f aca="false">IF(E100="","",IF(E100&lt;5,"Seguir probando",IF(M100="","",IF(M100&gt;=3,"Escalar (subir presupuesto)",IF(M100&gt;=1.5,"Optimizar creativo","Pausar o cambiar anuncio")))))</f>
        <v/>
      </c>
    </row>
    <row r="101" customFormat="false" ht="15" hidden="false" customHeight="false" outlineLevel="0" collapsed="false">
      <c r="A101" s="19"/>
      <c r="B101" s="18"/>
      <c r="C101" s="18"/>
      <c r="D101" s="18"/>
      <c r="E101" s="15"/>
      <c r="F101" s="21"/>
      <c r="G101" s="21"/>
      <c r="H101" s="21"/>
      <c r="I101" s="15"/>
      <c r="J101" s="22" t="str">
        <f aca="false">IF(OR(F101="",F101=0),"",G101/F101)</f>
        <v/>
      </c>
      <c r="K101" s="8" t="str">
        <f aca="false">IF(OR(G101="",G101=0),"",E101/G101)</f>
        <v/>
      </c>
      <c r="L101" s="8" t="str">
        <f aca="false">IF(OR(H101="",H101=0),"",E101/H101)</f>
        <v/>
      </c>
      <c r="M101" s="12" t="str">
        <f aca="false">IF(OR(E101="",E101=0),"",I101/E101)</f>
        <v/>
      </c>
      <c r="N101" s="8" t="str">
        <f aca="false">IF(E101="","",I101-E101)</f>
        <v/>
      </c>
      <c r="O101" s="14" t="str">
        <f aca="false">IF(E101="","",IF(E101&lt;5,"Seguir probando",IF(M101="","",IF(M101&gt;=3,"Escalar (subir presupuesto)",IF(M101&gt;=1.5,"Optimizar creativo","Pausar o cambiar anuncio")))))</f>
        <v/>
      </c>
    </row>
    <row r="102" customFormat="false" ht="15" hidden="false" customHeight="false" outlineLevel="0" collapsed="false">
      <c r="A102" s="19"/>
      <c r="B102" s="18"/>
      <c r="C102" s="18"/>
      <c r="D102" s="18"/>
      <c r="E102" s="15"/>
      <c r="F102" s="21"/>
      <c r="G102" s="21"/>
      <c r="H102" s="21"/>
      <c r="I102" s="15"/>
      <c r="J102" s="22" t="str">
        <f aca="false">IF(OR(F102="",F102=0),"",G102/F102)</f>
        <v/>
      </c>
      <c r="K102" s="8" t="str">
        <f aca="false">IF(OR(G102="",G102=0),"",E102/G102)</f>
        <v/>
      </c>
      <c r="L102" s="8" t="str">
        <f aca="false">IF(OR(H102="",H102=0),"",E102/H102)</f>
        <v/>
      </c>
      <c r="M102" s="12" t="str">
        <f aca="false">IF(OR(E102="",E102=0),"",I102/E102)</f>
        <v/>
      </c>
      <c r="N102" s="8" t="str">
        <f aca="false">IF(E102="","",I102-E102)</f>
        <v/>
      </c>
      <c r="O102" s="14" t="str">
        <f aca="false">IF(E102="","",IF(E102&lt;5,"Seguir probando",IF(M102="","",IF(M102&gt;=3,"Escalar (subir presupuesto)",IF(M102&gt;=1.5,"Optimizar creativo","Pausar o cambiar anuncio")))))</f>
        <v/>
      </c>
    </row>
    <row r="103" customFormat="false" ht="15" hidden="false" customHeight="false" outlineLevel="0" collapsed="false">
      <c r="A103" s="19"/>
      <c r="B103" s="18"/>
      <c r="C103" s="18"/>
      <c r="D103" s="18"/>
      <c r="E103" s="15"/>
      <c r="F103" s="21"/>
      <c r="G103" s="21"/>
      <c r="H103" s="21"/>
      <c r="I103" s="15"/>
      <c r="J103" s="22" t="str">
        <f aca="false">IF(OR(F103="",F103=0),"",G103/F103)</f>
        <v/>
      </c>
      <c r="K103" s="8" t="str">
        <f aca="false">IF(OR(G103="",G103=0),"",E103/G103)</f>
        <v/>
      </c>
      <c r="L103" s="8" t="str">
        <f aca="false">IF(OR(H103="",H103=0),"",E103/H103)</f>
        <v/>
      </c>
      <c r="M103" s="12" t="str">
        <f aca="false">IF(OR(E103="",E103=0),"",I103/E103)</f>
        <v/>
      </c>
      <c r="N103" s="8" t="str">
        <f aca="false">IF(E103="","",I103-E103)</f>
        <v/>
      </c>
      <c r="O103" s="14" t="str">
        <f aca="false">IF(E103="","",IF(E103&lt;5,"Seguir probando",IF(M103="","",IF(M103&gt;=3,"Escalar (subir presupuesto)",IF(M103&gt;=1.5,"Optimizar creativo","Pausar o cambiar anuncio")))))</f>
        <v/>
      </c>
    </row>
    <row r="104" customFormat="false" ht="15" hidden="false" customHeight="false" outlineLevel="0" collapsed="false">
      <c r="A104" s="19"/>
      <c r="B104" s="18"/>
      <c r="C104" s="18"/>
      <c r="D104" s="18"/>
      <c r="E104" s="15"/>
      <c r="F104" s="21"/>
      <c r="G104" s="21"/>
      <c r="H104" s="21"/>
      <c r="I104" s="15"/>
      <c r="J104" s="22" t="str">
        <f aca="false">IF(OR(F104="",F104=0),"",G104/F104)</f>
        <v/>
      </c>
      <c r="K104" s="8" t="str">
        <f aca="false">IF(OR(G104="",G104=0),"",E104/G104)</f>
        <v/>
      </c>
      <c r="L104" s="8" t="str">
        <f aca="false">IF(OR(H104="",H104=0),"",E104/H104)</f>
        <v/>
      </c>
      <c r="M104" s="12" t="str">
        <f aca="false">IF(OR(E104="",E104=0),"",I104/E104)</f>
        <v/>
      </c>
      <c r="N104" s="8" t="str">
        <f aca="false">IF(E104="","",I104-E104)</f>
        <v/>
      </c>
      <c r="O104" s="14" t="str">
        <f aca="false">IF(E104="","",IF(E104&lt;5,"Seguir probando",IF(M104="","",IF(M104&gt;=3,"Escalar (subir presupuesto)",IF(M104&gt;=1.5,"Optimizar creativo","Pausar o cambiar anuncio")))))</f>
        <v/>
      </c>
    </row>
    <row r="105" customFormat="false" ht="15" hidden="false" customHeight="false" outlineLevel="0" collapsed="false">
      <c r="A105" s="19"/>
      <c r="B105" s="18"/>
      <c r="C105" s="18"/>
      <c r="D105" s="18"/>
      <c r="E105" s="15"/>
      <c r="F105" s="21"/>
      <c r="G105" s="21"/>
      <c r="H105" s="21"/>
      <c r="I105" s="15"/>
      <c r="J105" s="22" t="str">
        <f aca="false">IF(OR(F105="",F105=0),"",G105/F105)</f>
        <v/>
      </c>
      <c r="K105" s="8" t="str">
        <f aca="false">IF(OR(G105="",G105=0),"",E105/G105)</f>
        <v/>
      </c>
      <c r="L105" s="8" t="str">
        <f aca="false">IF(OR(H105="",H105=0),"",E105/H105)</f>
        <v/>
      </c>
      <c r="M105" s="12" t="str">
        <f aca="false">IF(OR(E105="",E105=0),"",I105/E105)</f>
        <v/>
      </c>
      <c r="N105" s="8" t="str">
        <f aca="false">IF(E105="","",I105-E105)</f>
        <v/>
      </c>
      <c r="O105" s="14" t="str">
        <f aca="false">IF(E105="","",IF(E105&lt;5,"Seguir probando",IF(M105="","",IF(M105&gt;=3,"Escalar (subir presupuesto)",IF(M105&gt;=1.5,"Optimizar creativo","Pausar o cambiar anuncio")))))</f>
        <v/>
      </c>
    </row>
    <row r="106" customFormat="false" ht="15" hidden="false" customHeight="false" outlineLevel="0" collapsed="false">
      <c r="A106" s="19"/>
      <c r="B106" s="18"/>
      <c r="C106" s="18"/>
      <c r="D106" s="18"/>
      <c r="E106" s="15"/>
      <c r="F106" s="21"/>
      <c r="G106" s="21"/>
      <c r="H106" s="21"/>
      <c r="I106" s="15"/>
      <c r="J106" s="22" t="str">
        <f aca="false">IF(OR(F106="",F106=0),"",G106/F106)</f>
        <v/>
      </c>
      <c r="K106" s="8" t="str">
        <f aca="false">IF(OR(G106="",G106=0),"",E106/G106)</f>
        <v/>
      </c>
      <c r="L106" s="8" t="str">
        <f aca="false">IF(OR(H106="",H106=0),"",E106/H106)</f>
        <v/>
      </c>
      <c r="M106" s="12" t="str">
        <f aca="false">IF(OR(E106="",E106=0),"",I106/E106)</f>
        <v/>
      </c>
      <c r="N106" s="8" t="str">
        <f aca="false">IF(E106="","",I106-E106)</f>
        <v/>
      </c>
      <c r="O106" s="14" t="str">
        <f aca="false">IF(E106="","",IF(E106&lt;5,"Seguir probando",IF(M106="","",IF(M106&gt;=3,"Escalar (subir presupuesto)",IF(M106&gt;=1.5,"Optimizar creativo","Pausar o cambiar anuncio")))))</f>
        <v/>
      </c>
    </row>
    <row r="107" customFormat="false" ht="15" hidden="false" customHeight="false" outlineLevel="0" collapsed="false">
      <c r="A107" s="19"/>
      <c r="B107" s="18"/>
      <c r="C107" s="18"/>
      <c r="D107" s="18"/>
      <c r="E107" s="15"/>
      <c r="F107" s="21"/>
      <c r="G107" s="21"/>
      <c r="H107" s="21"/>
      <c r="I107" s="15"/>
      <c r="J107" s="22" t="str">
        <f aca="false">IF(OR(F107="",F107=0),"",G107/F107)</f>
        <v/>
      </c>
      <c r="K107" s="8" t="str">
        <f aca="false">IF(OR(G107="",G107=0),"",E107/G107)</f>
        <v/>
      </c>
      <c r="L107" s="8" t="str">
        <f aca="false">IF(OR(H107="",H107=0),"",E107/H107)</f>
        <v/>
      </c>
      <c r="M107" s="12" t="str">
        <f aca="false">IF(OR(E107="",E107=0),"",I107/E107)</f>
        <v/>
      </c>
      <c r="N107" s="8" t="str">
        <f aca="false">IF(E107="","",I107-E107)</f>
        <v/>
      </c>
      <c r="O107" s="14" t="str">
        <f aca="false">IF(E107="","",IF(E107&lt;5,"Seguir probando",IF(M107="","",IF(M107&gt;=3,"Escalar (subir presupuesto)",IF(M107&gt;=1.5,"Optimizar creativo","Pausar o cambiar anuncio")))))</f>
        <v/>
      </c>
    </row>
    <row r="108" customFormat="false" ht="15" hidden="false" customHeight="false" outlineLevel="0" collapsed="false">
      <c r="A108" s="19"/>
      <c r="B108" s="18"/>
      <c r="C108" s="18"/>
      <c r="D108" s="18"/>
      <c r="E108" s="15"/>
      <c r="F108" s="21"/>
      <c r="G108" s="21"/>
      <c r="H108" s="21"/>
      <c r="I108" s="15"/>
      <c r="J108" s="22" t="str">
        <f aca="false">IF(OR(F108="",F108=0),"",G108/F108)</f>
        <v/>
      </c>
      <c r="K108" s="8" t="str">
        <f aca="false">IF(OR(G108="",G108=0),"",E108/G108)</f>
        <v/>
      </c>
      <c r="L108" s="8" t="str">
        <f aca="false">IF(OR(H108="",H108=0),"",E108/H108)</f>
        <v/>
      </c>
      <c r="M108" s="12" t="str">
        <f aca="false">IF(OR(E108="",E108=0),"",I108/E108)</f>
        <v/>
      </c>
      <c r="N108" s="8" t="str">
        <f aca="false">IF(E108="","",I108-E108)</f>
        <v/>
      </c>
      <c r="O108" s="14" t="str">
        <f aca="false">IF(E108="","",IF(E108&lt;5,"Seguir probando",IF(M108="","",IF(M108&gt;=3,"Escalar (subir presupuesto)",IF(M108&gt;=1.5,"Optimizar creativo","Pausar o cambiar anuncio")))))</f>
        <v/>
      </c>
    </row>
    <row r="109" customFormat="false" ht="15" hidden="false" customHeight="false" outlineLevel="0" collapsed="false">
      <c r="A109" s="19"/>
      <c r="B109" s="18"/>
      <c r="C109" s="18"/>
      <c r="D109" s="18"/>
      <c r="E109" s="15"/>
      <c r="F109" s="21"/>
      <c r="G109" s="21"/>
      <c r="H109" s="21"/>
      <c r="I109" s="15"/>
      <c r="J109" s="22" t="str">
        <f aca="false">IF(OR(F109="",F109=0),"",G109/F109)</f>
        <v/>
      </c>
      <c r="K109" s="8" t="str">
        <f aca="false">IF(OR(G109="",G109=0),"",E109/G109)</f>
        <v/>
      </c>
      <c r="L109" s="8" t="str">
        <f aca="false">IF(OR(H109="",H109=0),"",E109/H109)</f>
        <v/>
      </c>
      <c r="M109" s="12" t="str">
        <f aca="false">IF(OR(E109="",E109=0),"",I109/E109)</f>
        <v/>
      </c>
      <c r="N109" s="8" t="str">
        <f aca="false">IF(E109="","",I109-E109)</f>
        <v/>
      </c>
      <c r="O109" s="14" t="str">
        <f aca="false">IF(E109="","",IF(E109&lt;5,"Seguir probando",IF(M109="","",IF(M109&gt;=3,"Escalar (subir presupuesto)",IF(M109&gt;=1.5,"Optimizar creativo","Pausar o cambiar anuncio")))))</f>
        <v/>
      </c>
    </row>
    <row r="110" customFormat="false" ht="15" hidden="false" customHeight="false" outlineLevel="0" collapsed="false">
      <c r="A110" s="19"/>
      <c r="B110" s="18"/>
      <c r="C110" s="18"/>
      <c r="D110" s="18"/>
      <c r="E110" s="15"/>
      <c r="F110" s="21"/>
      <c r="G110" s="21"/>
      <c r="H110" s="21"/>
      <c r="I110" s="15"/>
      <c r="J110" s="22" t="str">
        <f aca="false">IF(OR(F110="",F110=0),"",G110/F110)</f>
        <v/>
      </c>
      <c r="K110" s="8" t="str">
        <f aca="false">IF(OR(G110="",G110=0),"",E110/G110)</f>
        <v/>
      </c>
      <c r="L110" s="8" t="str">
        <f aca="false">IF(OR(H110="",H110=0),"",E110/H110)</f>
        <v/>
      </c>
      <c r="M110" s="12" t="str">
        <f aca="false">IF(OR(E110="",E110=0),"",I110/E110)</f>
        <v/>
      </c>
      <c r="N110" s="8" t="str">
        <f aca="false">IF(E110="","",I110-E110)</f>
        <v/>
      </c>
      <c r="O110" s="14" t="str">
        <f aca="false">IF(E110="","",IF(E110&lt;5,"Seguir probando",IF(M110="","",IF(M110&gt;=3,"Escalar (subir presupuesto)",IF(M110&gt;=1.5,"Optimizar creativo","Pausar o cambiar anuncio")))))</f>
        <v/>
      </c>
    </row>
    <row r="111" customFormat="false" ht="15" hidden="false" customHeight="false" outlineLevel="0" collapsed="false">
      <c r="A111" s="19"/>
      <c r="B111" s="18"/>
      <c r="C111" s="18"/>
      <c r="D111" s="18"/>
      <c r="E111" s="15"/>
      <c r="F111" s="21"/>
      <c r="G111" s="21"/>
      <c r="H111" s="21"/>
      <c r="I111" s="15"/>
      <c r="J111" s="22" t="str">
        <f aca="false">IF(OR(F111="",F111=0),"",G111/F111)</f>
        <v/>
      </c>
      <c r="K111" s="8" t="str">
        <f aca="false">IF(OR(G111="",G111=0),"",E111/G111)</f>
        <v/>
      </c>
      <c r="L111" s="8" t="str">
        <f aca="false">IF(OR(H111="",H111=0),"",E111/H111)</f>
        <v/>
      </c>
      <c r="M111" s="12" t="str">
        <f aca="false">IF(OR(E111="",E111=0),"",I111/E111)</f>
        <v/>
      </c>
      <c r="N111" s="8" t="str">
        <f aca="false">IF(E111="","",I111-E111)</f>
        <v/>
      </c>
      <c r="O111" s="14" t="str">
        <f aca="false">IF(E111="","",IF(E111&lt;5,"Seguir probando",IF(M111="","",IF(M111&gt;=3,"Escalar (subir presupuesto)",IF(M111&gt;=1.5,"Optimizar creativo","Pausar o cambiar anuncio")))))</f>
        <v/>
      </c>
    </row>
    <row r="112" customFormat="false" ht="15" hidden="false" customHeight="false" outlineLevel="0" collapsed="false">
      <c r="A112" s="19"/>
      <c r="B112" s="18"/>
      <c r="C112" s="18"/>
      <c r="D112" s="18"/>
      <c r="E112" s="15"/>
      <c r="F112" s="21"/>
      <c r="G112" s="21"/>
      <c r="H112" s="21"/>
      <c r="I112" s="15"/>
      <c r="J112" s="22" t="str">
        <f aca="false">IF(OR(F112="",F112=0),"",G112/F112)</f>
        <v/>
      </c>
      <c r="K112" s="8" t="str">
        <f aca="false">IF(OR(G112="",G112=0),"",E112/G112)</f>
        <v/>
      </c>
      <c r="L112" s="8" t="str">
        <f aca="false">IF(OR(H112="",H112=0),"",E112/H112)</f>
        <v/>
      </c>
      <c r="M112" s="12" t="str">
        <f aca="false">IF(OR(E112="",E112=0),"",I112/E112)</f>
        <v/>
      </c>
      <c r="N112" s="8" t="str">
        <f aca="false">IF(E112="","",I112-E112)</f>
        <v/>
      </c>
      <c r="O112" s="14" t="str">
        <f aca="false">IF(E112="","",IF(E112&lt;5,"Seguir probando",IF(M112="","",IF(M112&gt;=3,"Escalar (subir presupuesto)",IF(M112&gt;=1.5,"Optimizar creativo","Pausar o cambiar anuncio")))))</f>
        <v/>
      </c>
    </row>
    <row r="113" customFormat="false" ht="15" hidden="false" customHeight="false" outlineLevel="0" collapsed="false">
      <c r="A113" s="19"/>
      <c r="B113" s="18"/>
      <c r="C113" s="18"/>
      <c r="D113" s="18"/>
      <c r="E113" s="15"/>
      <c r="F113" s="21"/>
      <c r="G113" s="21"/>
      <c r="H113" s="21"/>
      <c r="I113" s="15"/>
      <c r="J113" s="22" t="str">
        <f aca="false">IF(OR(F113="",F113=0),"",G113/F113)</f>
        <v/>
      </c>
      <c r="K113" s="8" t="str">
        <f aca="false">IF(OR(G113="",G113=0),"",E113/G113)</f>
        <v/>
      </c>
      <c r="L113" s="8" t="str">
        <f aca="false">IF(OR(H113="",H113=0),"",E113/H113)</f>
        <v/>
      </c>
      <c r="M113" s="12" t="str">
        <f aca="false">IF(OR(E113="",E113=0),"",I113/E113)</f>
        <v/>
      </c>
      <c r="N113" s="8" t="str">
        <f aca="false">IF(E113="","",I113-E113)</f>
        <v/>
      </c>
      <c r="O113" s="14" t="str">
        <f aca="false">IF(E113="","",IF(E113&lt;5,"Seguir probando",IF(M113="","",IF(M113&gt;=3,"Escalar (subir presupuesto)",IF(M113&gt;=1.5,"Optimizar creativo","Pausar o cambiar anuncio")))))</f>
        <v/>
      </c>
    </row>
    <row r="114" customFormat="false" ht="15" hidden="false" customHeight="false" outlineLevel="0" collapsed="false">
      <c r="A114" s="19"/>
      <c r="B114" s="18"/>
      <c r="C114" s="18"/>
      <c r="D114" s="18"/>
      <c r="E114" s="15"/>
      <c r="F114" s="21"/>
      <c r="G114" s="21"/>
      <c r="H114" s="21"/>
      <c r="I114" s="15"/>
      <c r="J114" s="22" t="str">
        <f aca="false">IF(OR(F114="",F114=0),"",G114/F114)</f>
        <v/>
      </c>
      <c r="K114" s="8" t="str">
        <f aca="false">IF(OR(G114="",G114=0),"",E114/G114)</f>
        <v/>
      </c>
      <c r="L114" s="8" t="str">
        <f aca="false">IF(OR(H114="",H114=0),"",E114/H114)</f>
        <v/>
      </c>
      <c r="M114" s="12" t="str">
        <f aca="false">IF(OR(E114="",E114=0),"",I114/E114)</f>
        <v/>
      </c>
      <c r="N114" s="8" t="str">
        <f aca="false">IF(E114="","",I114-E114)</f>
        <v/>
      </c>
      <c r="O114" s="14" t="str">
        <f aca="false">IF(E114="","",IF(E114&lt;5,"Seguir probando",IF(M114="","",IF(M114&gt;=3,"Escalar (subir presupuesto)",IF(M114&gt;=1.5,"Optimizar creativo","Pausar o cambiar anuncio")))))</f>
        <v/>
      </c>
    </row>
    <row r="115" customFormat="false" ht="15" hidden="false" customHeight="false" outlineLevel="0" collapsed="false">
      <c r="A115" s="19"/>
      <c r="B115" s="18"/>
      <c r="C115" s="18"/>
      <c r="D115" s="18"/>
      <c r="E115" s="15"/>
      <c r="F115" s="21"/>
      <c r="G115" s="21"/>
      <c r="H115" s="21"/>
      <c r="I115" s="15"/>
      <c r="J115" s="22" t="str">
        <f aca="false">IF(OR(F115="",F115=0),"",G115/F115)</f>
        <v/>
      </c>
      <c r="K115" s="8" t="str">
        <f aca="false">IF(OR(G115="",G115=0),"",E115/G115)</f>
        <v/>
      </c>
      <c r="L115" s="8" t="str">
        <f aca="false">IF(OR(H115="",H115=0),"",E115/H115)</f>
        <v/>
      </c>
      <c r="M115" s="12" t="str">
        <f aca="false">IF(OR(E115="",E115=0),"",I115/E115)</f>
        <v/>
      </c>
      <c r="N115" s="8" t="str">
        <f aca="false">IF(E115="","",I115-E115)</f>
        <v/>
      </c>
      <c r="O115" s="14" t="str">
        <f aca="false">IF(E115="","",IF(E115&lt;5,"Seguir probando",IF(M115="","",IF(M115&gt;=3,"Escalar (subir presupuesto)",IF(M115&gt;=1.5,"Optimizar creativo","Pausar o cambiar anuncio")))))</f>
        <v/>
      </c>
    </row>
    <row r="116" customFormat="false" ht="15" hidden="false" customHeight="false" outlineLevel="0" collapsed="false">
      <c r="A116" s="19"/>
      <c r="B116" s="18"/>
      <c r="C116" s="18"/>
      <c r="D116" s="18"/>
      <c r="E116" s="15"/>
      <c r="F116" s="21"/>
      <c r="G116" s="21"/>
      <c r="H116" s="21"/>
      <c r="I116" s="15"/>
      <c r="J116" s="22" t="str">
        <f aca="false">IF(OR(F116="",F116=0),"",G116/F116)</f>
        <v/>
      </c>
      <c r="K116" s="8" t="str">
        <f aca="false">IF(OR(G116="",G116=0),"",E116/G116)</f>
        <v/>
      </c>
      <c r="L116" s="8" t="str">
        <f aca="false">IF(OR(H116="",H116=0),"",E116/H116)</f>
        <v/>
      </c>
      <c r="M116" s="12" t="str">
        <f aca="false">IF(OR(E116="",E116=0),"",I116/E116)</f>
        <v/>
      </c>
      <c r="N116" s="8" t="str">
        <f aca="false">IF(E116="","",I116-E116)</f>
        <v/>
      </c>
      <c r="O116" s="14" t="str">
        <f aca="false">IF(E116="","",IF(E116&lt;5,"Seguir probando",IF(M116="","",IF(M116&gt;=3,"Escalar (subir presupuesto)",IF(M116&gt;=1.5,"Optimizar creativo","Pausar o cambiar anuncio")))))</f>
        <v/>
      </c>
    </row>
    <row r="117" customFormat="false" ht="15" hidden="false" customHeight="false" outlineLevel="0" collapsed="false">
      <c r="A117" s="19"/>
      <c r="B117" s="18"/>
      <c r="C117" s="18"/>
      <c r="D117" s="18"/>
      <c r="E117" s="15"/>
      <c r="F117" s="21"/>
      <c r="G117" s="21"/>
      <c r="H117" s="21"/>
      <c r="I117" s="15"/>
      <c r="J117" s="22" t="str">
        <f aca="false">IF(OR(F117="",F117=0),"",G117/F117)</f>
        <v/>
      </c>
      <c r="K117" s="8" t="str">
        <f aca="false">IF(OR(G117="",G117=0),"",E117/G117)</f>
        <v/>
      </c>
      <c r="L117" s="8" t="str">
        <f aca="false">IF(OR(H117="",H117=0),"",E117/H117)</f>
        <v/>
      </c>
      <c r="M117" s="12" t="str">
        <f aca="false">IF(OR(E117="",E117=0),"",I117/E117)</f>
        <v/>
      </c>
      <c r="N117" s="8" t="str">
        <f aca="false">IF(E117="","",I117-E117)</f>
        <v/>
      </c>
      <c r="O117" s="14" t="str">
        <f aca="false">IF(E117="","",IF(E117&lt;5,"Seguir probando",IF(M117="","",IF(M117&gt;=3,"Escalar (subir presupuesto)",IF(M117&gt;=1.5,"Optimizar creativo","Pausar o cambiar anuncio")))))</f>
        <v/>
      </c>
    </row>
    <row r="118" customFormat="false" ht="15" hidden="false" customHeight="false" outlineLevel="0" collapsed="false">
      <c r="A118" s="19"/>
      <c r="B118" s="18"/>
      <c r="C118" s="18"/>
      <c r="D118" s="18"/>
      <c r="E118" s="15"/>
      <c r="F118" s="21"/>
      <c r="G118" s="21"/>
      <c r="H118" s="21"/>
      <c r="I118" s="15"/>
      <c r="J118" s="22" t="str">
        <f aca="false">IF(OR(F118="",F118=0),"",G118/F118)</f>
        <v/>
      </c>
      <c r="K118" s="8" t="str">
        <f aca="false">IF(OR(G118="",G118=0),"",E118/G118)</f>
        <v/>
      </c>
      <c r="L118" s="8" t="str">
        <f aca="false">IF(OR(H118="",H118=0),"",E118/H118)</f>
        <v/>
      </c>
      <c r="M118" s="12" t="str">
        <f aca="false">IF(OR(E118="",E118=0),"",I118/E118)</f>
        <v/>
      </c>
      <c r="N118" s="8" t="str">
        <f aca="false">IF(E118="","",I118-E118)</f>
        <v/>
      </c>
      <c r="O118" s="14" t="str">
        <f aca="false">IF(E118="","",IF(E118&lt;5,"Seguir probando",IF(M118="","",IF(M118&gt;=3,"Escalar (subir presupuesto)",IF(M118&gt;=1.5,"Optimizar creativo","Pausar o cambiar anuncio")))))</f>
        <v/>
      </c>
    </row>
    <row r="119" customFormat="false" ht="15" hidden="false" customHeight="false" outlineLevel="0" collapsed="false">
      <c r="A119" s="19"/>
      <c r="B119" s="18"/>
      <c r="C119" s="18"/>
      <c r="D119" s="18"/>
      <c r="E119" s="15"/>
      <c r="F119" s="21"/>
      <c r="G119" s="21"/>
      <c r="H119" s="21"/>
      <c r="I119" s="15"/>
      <c r="J119" s="22" t="str">
        <f aca="false">IF(OR(F119="",F119=0),"",G119/F119)</f>
        <v/>
      </c>
      <c r="K119" s="8" t="str">
        <f aca="false">IF(OR(G119="",G119=0),"",E119/G119)</f>
        <v/>
      </c>
      <c r="L119" s="8" t="str">
        <f aca="false">IF(OR(H119="",H119=0),"",E119/H119)</f>
        <v/>
      </c>
      <c r="M119" s="12" t="str">
        <f aca="false">IF(OR(E119="",E119=0),"",I119/E119)</f>
        <v/>
      </c>
      <c r="N119" s="8" t="str">
        <f aca="false">IF(E119="","",I119-E119)</f>
        <v/>
      </c>
      <c r="O119" s="14" t="str">
        <f aca="false">IF(E119="","",IF(E119&lt;5,"Seguir probando",IF(M119="","",IF(M119&gt;=3,"Escalar (subir presupuesto)",IF(M119&gt;=1.5,"Optimizar creativo","Pausar o cambiar anuncio")))))</f>
        <v/>
      </c>
    </row>
    <row r="120" customFormat="false" ht="15" hidden="false" customHeight="false" outlineLevel="0" collapsed="false">
      <c r="A120" s="19"/>
      <c r="B120" s="18"/>
      <c r="C120" s="18"/>
      <c r="D120" s="18"/>
      <c r="E120" s="15"/>
      <c r="F120" s="21"/>
      <c r="G120" s="21"/>
      <c r="H120" s="21"/>
      <c r="I120" s="15"/>
      <c r="J120" s="22" t="str">
        <f aca="false">IF(OR(F120="",F120=0),"",G120/F120)</f>
        <v/>
      </c>
      <c r="K120" s="8" t="str">
        <f aca="false">IF(OR(G120="",G120=0),"",E120/G120)</f>
        <v/>
      </c>
      <c r="L120" s="8" t="str">
        <f aca="false">IF(OR(H120="",H120=0),"",E120/H120)</f>
        <v/>
      </c>
      <c r="M120" s="12" t="str">
        <f aca="false">IF(OR(E120="",E120=0),"",I120/E120)</f>
        <v/>
      </c>
      <c r="N120" s="8" t="str">
        <f aca="false">IF(E120="","",I120-E120)</f>
        <v/>
      </c>
      <c r="O120" s="14" t="str">
        <f aca="false">IF(E120="","",IF(E120&lt;5,"Seguir probando",IF(M120="","",IF(M120&gt;=3,"Escalar (subir presupuesto)",IF(M120&gt;=1.5,"Optimizar creativo","Pausar o cambiar anuncio")))))</f>
        <v/>
      </c>
    </row>
    <row r="121" customFormat="false" ht="15" hidden="false" customHeight="false" outlineLevel="0" collapsed="false">
      <c r="A121" s="19"/>
      <c r="B121" s="18"/>
      <c r="C121" s="18"/>
      <c r="D121" s="18"/>
      <c r="E121" s="15"/>
      <c r="F121" s="21"/>
      <c r="G121" s="21"/>
      <c r="H121" s="21"/>
      <c r="I121" s="15"/>
      <c r="J121" s="22" t="str">
        <f aca="false">IF(OR(F121="",F121=0),"",G121/F121)</f>
        <v/>
      </c>
      <c r="K121" s="8" t="str">
        <f aca="false">IF(OR(G121="",G121=0),"",E121/G121)</f>
        <v/>
      </c>
      <c r="L121" s="8" t="str">
        <f aca="false">IF(OR(H121="",H121=0),"",E121/H121)</f>
        <v/>
      </c>
      <c r="M121" s="12" t="str">
        <f aca="false">IF(OR(E121="",E121=0),"",I121/E121)</f>
        <v/>
      </c>
      <c r="N121" s="8" t="str">
        <f aca="false">IF(E121="","",I121-E121)</f>
        <v/>
      </c>
      <c r="O121" s="14" t="str">
        <f aca="false">IF(E121="","",IF(E121&lt;5,"Seguir probando",IF(M121="","",IF(M121&gt;=3,"Escalar (subir presupuesto)",IF(M121&gt;=1.5,"Optimizar creativo","Pausar o cambiar anuncio")))))</f>
        <v/>
      </c>
    </row>
    <row r="122" customFormat="false" ht="15" hidden="false" customHeight="false" outlineLevel="0" collapsed="false">
      <c r="A122" s="19"/>
      <c r="B122" s="18"/>
      <c r="C122" s="18"/>
      <c r="D122" s="18"/>
      <c r="E122" s="15"/>
      <c r="F122" s="21"/>
      <c r="G122" s="21"/>
      <c r="H122" s="21"/>
      <c r="I122" s="15"/>
      <c r="J122" s="22" t="str">
        <f aca="false">IF(OR(F122="",F122=0),"",G122/F122)</f>
        <v/>
      </c>
      <c r="K122" s="8" t="str">
        <f aca="false">IF(OR(G122="",G122=0),"",E122/G122)</f>
        <v/>
      </c>
      <c r="L122" s="8" t="str">
        <f aca="false">IF(OR(H122="",H122=0),"",E122/H122)</f>
        <v/>
      </c>
      <c r="M122" s="12" t="str">
        <f aca="false">IF(OR(E122="",E122=0),"",I122/E122)</f>
        <v/>
      </c>
      <c r="N122" s="8" t="str">
        <f aca="false">IF(E122="","",I122-E122)</f>
        <v/>
      </c>
      <c r="O122" s="14" t="str">
        <f aca="false">IF(E122="","",IF(E122&lt;5,"Seguir probando",IF(M122="","",IF(M122&gt;=3,"Escalar (subir presupuesto)",IF(M122&gt;=1.5,"Optimizar creativo","Pausar o cambiar anuncio")))))</f>
        <v/>
      </c>
    </row>
    <row r="123" customFormat="false" ht="15" hidden="false" customHeight="false" outlineLevel="0" collapsed="false">
      <c r="A123" s="19"/>
      <c r="B123" s="18"/>
      <c r="C123" s="18"/>
      <c r="D123" s="18"/>
      <c r="E123" s="15"/>
      <c r="F123" s="21"/>
      <c r="G123" s="21"/>
      <c r="H123" s="21"/>
      <c r="I123" s="15"/>
      <c r="J123" s="22" t="str">
        <f aca="false">IF(OR(F123="",F123=0),"",G123/F123)</f>
        <v/>
      </c>
      <c r="K123" s="8" t="str">
        <f aca="false">IF(OR(G123="",G123=0),"",E123/G123)</f>
        <v/>
      </c>
      <c r="L123" s="8" t="str">
        <f aca="false">IF(OR(H123="",H123=0),"",E123/H123)</f>
        <v/>
      </c>
      <c r="M123" s="12" t="str">
        <f aca="false">IF(OR(E123="",E123=0),"",I123/E123)</f>
        <v/>
      </c>
      <c r="N123" s="8" t="str">
        <f aca="false">IF(E123="","",I123-E123)</f>
        <v/>
      </c>
      <c r="O123" s="14" t="str">
        <f aca="false">IF(E123="","",IF(E123&lt;5,"Seguir probando",IF(M123="","",IF(M123&gt;=3,"Escalar (subir presupuesto)",IF(M123&gt;=1.5,"Optimizar creativo","Pausar o cambiar anuncio")))))</f>
        <v/>
      </c>
    </row>
    <row r="124" customFormat="false" ht="15" hidden="false" customHeight="false" outlineLevel="0" collapsed="false">
      <c r="A124" s="19"/>
      <c r="B124" s="18"/>
      <c r="C124" s="18"/>
      <c r="D124" s="18"/>
      <c r="E124" s="15"/>
      <c r="F124" s="21"/>
      <c r="G124" s="21"/>
      <c r="H124" s="21"/>
      <c r="I124" s="15"/>
      <c r="J124" s="22" t="str">
        <f aca="false">IF(OR(F124="",F124=0),"",G124/F124)</f>
        <v/>
      </c>
      <c r="K124" s="8" t="str">
        <f aca="false">IF(OR(G124="",G124=0),"",E124/G124)</f>
        <v/>
      </c>
      <c r="L124" s="8" t="str">
        <f aca="false">IF(OR(H124="",H124=0),"",E124/H124)</f>
        <v/>
      </c>
      <c r="M124" s="12" t="str">
        <f aca="false">IF(OR(E124="",E124=0),"",I124/E124)</f>
        <v/>
      </c>
      <c r="N124" s="8" t="str">
        <f aca="false">IF(E124="","",I124-E124)</f>
        <v/>
      </c>
      <c r="O124" s="14" t="str">
        <f aca="false">IF(E124="","",IF(E124&lt;5,"Seguir probando",IF(M124="","",IF(M124&gt;=3,"Escalar (subir presupuesto)",IF(M124&gt;=1.5,"Optimizar creativo","Pausar o cambiar anuncio")))))</f>
        <v/>
      </c>
    </row>
    <row r="125" customFormat="false" ht="15" hidden="false" customHeight="false" outlineLevel="0" collapsed="false">
      <c r="A125" s="19"/>
      <c r="B125" s="18"/>
      <c r="C125" s="18"/>
      <c r="D125" s="18"/>
      <c r="E125" s="15"/>
      <c r="F125" s="21"/>
      <c r="G125" s="21"/>
      <c r="H125" s="21"/>
      <c r="I125" s="15"/>
      <c r="J125" s="22" t="str">
        <f aca="false">IF(OR(F125="",F125=0),"",G125/F125)</f>
        <v/>
      </c>
      <c r="K125" s="8" t="str">
        <f aca="false">IF(OR(G125="",G125=0),"",E125/G125)</f>
        <v/>
      </c>
      <c r="L125" s="8" t="str">
        <f aca="false">IF(OR(H125="",H125=0),"",E125/H125)</f>
        <v/>
      </c>
      <c r="M125" s="12" t="str">
        <f aca="false">IF(OR(E125="",E125=0),"",I125/E125)</f>
        <v/>
      </c>
      <c r="N125" s="8" t="str">
        <f aca="false">IF(E125="","",I125-E125)</f>
        <v/>
      </c>
      <c r="O125" s="14" t="str">
        <f aca="false">IF(E125="","",IF(E125&lt;5,"Seguir probando",IF(M125="","",IF(M125&gt;=3,"Escalar (subir presupuesto)",IF(M125&gt;=1.5,"Optimizar creativo","Pausar o cambiar anuncio")))))</f>
        <v/>
      </c>
    </row>
    <row r="126" customFormat="false" ht="15" hidden="false" customHeight="false" outlineLevel="0" collapsed="false">
      <c r="A126" s="19"/>
      <c r="B126" s="18"/>
      <c r="C126" s="18"/>
      <c r="D126" s="18"/>
      <c r="E126" s="15"/>
      <c r="F126" s="21"/>
      <c r="G126" s="21"/>
      <c r="H126" s="21"/>
      <c r="I126" s="15"/>
      <c r="J126" s="22" t="str">
        <f aca="false">IF(OR(F126="",F126=0),"",G126/F126)</f>
        <v/>
      </c>
      <c r="K126" s="8" t="str">
        <f aca="false">IF(OR(G126="",G126=0),"",E126/G126)</f>
        <v/>
      </c>
      <c r="L126" s="8" t="str">
        <f aca="false">IF(OR(H126="",H126=0),"",E126/H126)</f>
        <v/>
      </c>
      <c r="M126" s="12" t="str">
        <f aca="false">IF(OR(E126="",E126=0),"",I126/E126)</f>
        <v/>
      </c>
      <c r="N126" s="8" t="str">
        <f aca="false">IF(E126="","",I126-E126)</f>
        <v/>
      </c>
      <c r="O126" s="14" t="str">
        <f aca="false">IF(E126="","",IF(E126&lt;5,"Seguir probando",IF(M126="","",IF(M126&gt;=3,"Escalar (subir presupuesto)",IF(M126&gt;=1.5,"Optimizar creativo","Pausar o cambiar anuncio")))))</f>
        <v/>
      </c>
    </row>
    <row r="127" customFormat="false" ht="15" hidden="false" customHeight="false" outlineLevel="0" collapsed="false">
      <c r="A127" s="19"/>
      <c r="B127" s="18"/>
      <c r="C127" s="18"/>
      <c r="D127" s="18"/>
      <c r="E127" s="15"/>
      <c r="F127" s="21"/>
      <c r="G127" s="21"/>
      <c r="H127" s="21"/>
      <c r="I127" s="15"/>
      <c r="J127" s="22" t="str">
        <f aca="false">IF(OR(F127="",F127=0),"",G127/F127)</f>
        <v/>
      </c>
      <c r="K127" s="8" t="str">
        <f aca="false">IF(OR(G127="",G127=0),"",E127/G127)</f>
        <v/>
      </c>
      <c r="L127" s="8" t="str">
        <f aca="false">IF(OR(H127="",H127=0),"",E127/H127)</f>
        <v/>
      </c>
      <c r="M127" s="12" t="str">
        <f aca="false">IF(OR(E127="",E127=0),"",I127/E127)</f>
        <v/>
      </c>
      <c r="N127" s="8" t="str">
        <f aca="false">IF(E127="","",I127-E127)</f>
        <v/>
      </c>
      <c r="O127" s="14" t="str">
        <f aca="false">IF(E127="","",IF(E127&lt;5,"Seguir probando",IF(M127="","",IF(M127&gt;=3,"Escalar (subir presupuesto)",IF(M127&gt;=1.5,"Optimizar creativo","Pausar o cambiar anuncio")))))</f>
        <v/>
      </c>
    </row>
    <row r="128" customFormat="false" ht="15" hidden="false" customHeight="false" outlineLevel="0" collapsed="false">
      <c r="A128" s="19"/>
      <c r="B128" s="18"/>
      <c r="C128" s="18"/>
      <c r="D128" s="18"/>
      <c r="E128" s="15"/>
      <c r="F128" s="21"/>
      <c r="G128" s="21"/>
      <c r="H128" s="21"/>
      <c r="I128" s="15"/>
      <c r="J128" s="22" t="str">
        <f aca="false">IF(OR(F128="",F128=0),"",G128/F128)</f>
        <v/>
      </c>
      <c r="K128" s="8" t="str">
        <f aca="false">IF(OR(G128="",G128=0),"",E128/G128)</f>
        <v/>
      </c>
      <c r="L128" s="8" t="str">
        <f aca="false">IF(OR(H128="",H128=0),"",E128/H128)</f>
        <v/>
      </c>
      <c r="M128" s="12" t="str">
        <f aca="false">IF(OR(E128="",E128=0),"",I128/E128)</f>
        <v/>
      </c>
      <c r="N128" s="8" t="str">
        <f aca="false">IF(E128="","",I128-E128)</f>
        <v/>
      </c>
      <c r="O128" s="14" t="str">
        <f aca="false">IF(E128="","",IF(E128&lt;5,"Seguir probando",IF(M128="","",IF(M128&gt;=3,"Escalar (subir presupuesto)",IF(M128&gt;=1.5,"Optimizar creativo","Pausar o cambiar anuncio")))))</f>
        <v/>
      </c>
    </row>
    <row r="129" customFormat="false" ht="15" hidden="false" customHeight="false" outlineLevel="0" collapsed="false">
      <c r="A129" s="19"/>
      <c r="B129" s="18"/>
      <c r="C129" s="18"/>
      <c r="D129" s="18"/>
      <c r="E129" s="15"/>
      <c r="F129" s="21"/>
      <c r="G129" s="21"/>
      <c r="H129" s="21"/>
      <c r="I129" s="15"/>
      <c r="J129" s="22" t="str">
        <f aca="false">IF(OR(F129="",F129=0),"",G129/F129)</f>
        <v/>
      </c>
      <c r="K129" s="8" t="str">
        <f aca="false">IF(OR(G129="",G129=0),"",E129/G129)</f>
        <v/>
      </c>
      <c r="L129" s="8" t="str">
        <f aca="false">IF(OR(H129="",H129=0),"",E129/H129)</f>
        <v/>
      </c>
      <c r="M129" s="12" t="str">
        <f aca="false">IF(OR(E129="",E129=0),"",I129/E129)</f>
        <v/>
      </c>
      <c r="N129" s="8" t="str">
        <f aca="false">IF(E129="","",I129-E129)</f>
        <v/>
      </c>
      <c r="O129" s="14" t="str">
        <f aca="false">IF(E129="","",IF(E129&lt;5,"Seguir probando",IF(M129="","",IF(M129&gt;=3,"Escalar (subir presupuesto)",IF(M129&gt;=1.5,"Optimizar creativo","Pausar o cambiar anuncio")))))</f>
        <v/>
      </c>
    </row>
    <row r="130" customFormat="false" ht="15" hidden="false" customHeight="false" outlineLevel="0" collapsed="false">
      <c r="A130" s="19"/>
      <c r="B130" s="18"/>
      <c r="C130" s="18"/>
      <c r="D130" s="18"/>
      <c r="E130" s="15"/>
      <c r="F130" s="21"/>
      <c r="G130" s="21"/>
      <c r="H130" s="21"/>
      <c r="I130" s="15"/>
      <c r="J130" s="22" t="str">
        <f aca="false">IF(OR(F130="",F130=0),"",G130/F130)</f>
        <v/>
      </c>
      <c r="K130" s="8" t="str">
        <f aca="false">IF(OR(G130="",G130=0),"",E130/G130)</f>
        <v/>
      </c>
      <c r="L130" s="8" t="str">
        <f aca="false">IF(OR(H130="",H130=0),"",E130/H130)</f>
        <v/>
      </c>
      <c r="M130" s="12" t="str">
        <f aca="false">IF(OR(E130="",E130=0),"",I130/E130)</f>
        <v/>
      </c>
      <c r="N130" s="8" t="str">
        <f aca="false">IF(E130="","",I130-E130)</f>
        <v/>
      </c>
      <c r="O130" s="14" t="str">
        <f aca="false">IF(E130="","",IF(E130&lt;5,"Seguir probando",IF(M130="","",IF(M130&gt;=3,"Escalar (subir presupuesto)",IF(M130&gt;=1.5,"Optimizar creativo","Pausar o cambiar anuncio")))))</f>
        <v/>
      </c>
    </row>
    <row r="131" customFormat="false" ht="15" hidden="false" customHeight="false" outlineLevel="0" collapsed="false">
      <c r="A131" s="19"/>
      <c r="B131" s="18"/>
      <c r="C131" s="18"/>
      <c r="D131" s="18"/>
      <c r="E131" s="15"/>
      <c r="F131" s="21"/>
      <c r="G131" s="21"/>
      <c r="H131" s="21"/>
      <c r="I131" s="15"/>
      <c r="J131" s="22" t="str">
        <f aca="false">IF(OR(F131="",F131=0),"",G131/F131)</f>
        <v/>
      </c>
      <c r="K131" s="8" t="str">
        <f aca="false">IF(OR(G131="",G131=0),"",E131/G131)</f>
        <v/>
      </c>
      <c r="L131" s="8" t="str">
        <f aca="false">IF(OR(H131="",H131=0),"",E131/H131)</f>
        <v/>
      </c>
      <c r="M131" s="12" t="str">
        <f aca="false">IF(OR(E131="",E131=0),"",I131/E131)</f>
        <v/>
      </c>
      <c r="N131" s="8" t="str">
        <f aca="false">IF(E131="","",I131-E131)</f>
        <v/>
      </c>
      <c r="O131" s="14" t="str">
        <f aca="false">IF(E131="","",IF(E131&lt;5,"Seguir probando",IF(M131="","",IF(M131&gt;=3,"Escalar (subir presupuesto)",IF(M131&gt;=1.5,"Optimizar creativo","Pausar o cambiar anuncio")))))</f>
        <v/>
      </c>
    </row>
    <row r="132" customFormat="false" ht="15" hidden="false" customHeight="false" outlineLevel="0" collapsed="false">
      <c r="A132" s="19"/>
      <c r="B132" s="18"/>
      <c r="C132" s="18"/>
      <c r="D132" s="18"/>
      <c r="E132" s="15"/>
      <c r="F132" s="21"/>
      <c r="G132" s="21"/>
      <c r="H132" s="21"/>
      <c r="I132" s="15"/>
      <c r="J132" s="22" t="str">
        <f aca="false">IF(OR(F132="",F132=0),"",G132/F132)</f>
        <v/>
      </c>
      <c r="K132" s="8" t="str">
        <f aca="false">IF(OR(G132="",G132=0),"",E132/G132)</f>
        <v/>
      </c>
      <c r="L132" s="8" t="str">
        <f aca="false">IF(OR(H132="",H132=0),"",E132/H132)</f>
        <v/>
      </c>
      <c r="M132" s="12" t="str">
        <f aca="false">IF(OR(E132="",E132=0),"",I132/E132)</f>
        <v/>
      </c>
      <c r="N132" s="8" t="str">
        <f aca="false">IF(E132="","",I132-E132)</f>
        <v/>
      </c>
      <c r="O132" s="14" t="str">
        <f aca="false">IF(E132="","",IF(E132&lt;5,"Seguir probando",IF(M132="","",IF(M132&gt;=3,"Escalar (subir presupuesto)",IF(M132&gt;=1.5,"Optimizar creativo","Pausar o cambiar anuncio")))))</f>
        <v/>
      </c>
    </row>
    <row r="133" customFormat="false" ht="15" hidden="false" customHeight="false" outlineLevel="0" collapsed="false">
      <c r="A133" s="19"/>
      <c r="B133" s="18"/>
      <c r="C133" s="18"/>
      <c r="D133" s="18"/>
      <c r="E133" s="15"/>
      <c r="F133" s="21"/>
      <c r="G133" s="21"/>
      <c r="H133" s="21"/>
      <c r="I133" s="15"/>
      <c r="J133" s="22" t="str">
        <f aca="false">IF(OR(F133="",F133=0),"",G133/F133)</f>
        <v/>
      </c>
      <c r="K133" s="8" t="str">
        <f aca="false">IF(OR(G133="",G133=0),"",E133/G133)</f>
        <v/>
      </c>
      <c r="L133" s="8" t="str">
        <f aca="false">IF(OR(H133="",H133=0),"",E133/H133)</f>
        <v/>
      </c>
      <c r="M133" s="12" t="str">
        <f aca="false">IF(OR(E133="",E133=0),"",I133/E133)</f>
        <v/>
      </c>
      <c r="N133" s="8" t="str">
        <f aca="false">IF(E133="","",I133-E133)</f>
        <v/>
      </c>
      <c r="O133" s="14" t="str">
        <f aca="false">IF(E133="","",IF(E133&lt;5,"Seguir probando",IF(M133="","",IF(M133&gt;=3,"Escalar (subir presupuesto)",IF(M133&gt;=1.5,"Optimizar creativo","Pausar o cambiar anuncio")))))</f>
        <v/>
      </c>
    </row>
    <row r="134" customFormat="false" ht="15" hidden="false" customHeight="false" outlineLevel="0" collapsed="false">
      <c r="A134" s="19"/>
      <c r="B134" s="18"/>
      <c r="C134" s="18"/>
      <c r="D134" s="18"/>
      <c r="E134" s="15"/>
      <c r="F134" s="21"/>
      <c r="G134" s="21"/>
      <c r="H134" s="21"/>
      <c r="I134" s="15"/>
      <c r="J134" s="22" t="str">
        <f aca="false">IF(OR(F134="",F134=0),"",G134/F134)</f>
        <v/>
      </c>
      <c r="K134" s="8" t="str">
        <f aca="false">IF(OR(G134="",G134=0),"",E134/G134)</f>
        <v/>
      </c>
      <c r="L134" s="8" t="str">
        <f aca="false">IF(OR(H134="",H134=0),"",E134/H134)</f>
        <v/>
      </c>
      <c r="M134" s="12" t="str">
        <f aca="false">IF(OR(E134="",E134=0),"",I134/E134)</f>
        <v/>
      </c>
      <c r="N134" s="8" t="str">
        <f aca="false">IF(E134="","",I134-E134)</f>
        <v/>
      </c>
      <c r="O134" s="14" t="str">
        <f aca="false">IF(E134="","",IF(E134&lt;5,"Seguir probando",IF(M134="","",IF(M134&gt;=3,"Escalar (subir presupuesto)",IF(M134&gt;=1.5,"Optimizar creativo","Pausar o cambiar anuncio")))))</f>
        <v/>
      </c>
    </row>
    <row r="135" customFormat="false" ht="15" hidden="false" customHeight="false" outlineLevel="0" collapsed="false">
      <c r="A135" s="19"/>
      <c r="B135" s="18"/>
      <c r="C135" s="18"/>
      <c r="D135" s="18"/>
      <c r="E135" s="15"/>
      <c r="F135" s="21"/>
      <c r="G135" s="21"/>
      <c r="H135" s="21"/>
      <c r="I135" s="15"/>
      <c r="J135" s="22" t="str">
        <f aca="false">IF(OR(F135="",F135=0),"",G135/F135)</f>
        <v/>
      </c>
      <c r="K135" s="8" t="str">
        <f aca="false">IF(OR(G135="",G135=0),"",E135/G135)</f>
        <v/>
      </c>
      <c r="L135" s="8" t="str">
        <f aca="false">IF(OR(H135="",H135=0),"",E135/H135)</f>
        <v/>
      </c>
      <c r="M135" s="12" t="str">
        <f aca="false">IF(OR(E135="",E135=0),"",I135/E135)</f>
        <v/>
      </c>
      <c r="N135" s="8" t="str">
        <f aca="false">IF(E135="","",I135-E135)</f>
        <v/>
      </c>
      <c r="O135" s="14" t="str">
        <f aca="false">IF(E135="","",IF(E135&lt;5,"Seguir probando",IF(M135="","",IF(M135&gt;=3,"Escalar (subir presupuesto)",IF(M135&gt;=1.5,"Optimizar creativo","Pausar o cambiar anuncio")))))</f>
        <v/>
      </c>
    </row>
    <row r="136" customFormat="false" ht="15" hidden="false" customHeight="false" outlineLevel="0" collapsed="false">
      <c r="A136" s="19"/>
      <c r="B136" s="18"/>
      <c r="C136" s="18"/>
      <c r="D136" s="18"/>
      <c r="E136" s="15"/>
      <c r="F136" s="21"/>
      <c r="G136" s="21"/>
      <c r="H136" s="21"/>
      <c r="I136" s="15"/>
      <c r="J136" s="22" t="str">
        <f aca="false">IF(OR(F136="",F136=0),"",G136/F136)</f>
        <v/>
      </c>
      <c r="K136" s="8" t="str">
        <f aca="false">IF(OR(G136="",G136=0),"",E136/G136)</f>
        <v/>
      </c>
      <c r="L136" s="8" t="str">
        <f aca="false">IF(OR(H136="",H136=0),"",E136/H136)</f>
        <v/>
      </c>
      <c r="M136" s="12" t="str">
        <f aca="false">IF(OR(E136="",E136=0),"",I136/E136)</f>
        <v/>
      </c>
      <c r="N136" s="8" t="str">
        <f aca="false">IF(E136="","",I136-E136)</f>
        <v/>
      </c>
      <c r="O136" s="14" t="str">
        <f aca="false">IF(E136="","",IF(E136&lt;5,"Seguir probando",IF(M136="","",IF(M136&gt;=3,"Escalar (subir presupuesto)",IF(M136&gt;=1.5,"Optimizar creativo","Pausar o cambiar anuncio")))))</f>
        <v/>
      </c>
    </row>
    <row r="137" customFormat="false" ht="15" hidden="false" customHeight="false" outlineLevel="0" collapsed="false">
      <c r="A137" s="19"/>
      <c r="B137" s="18"/>
      <c r="C137" s="18"/>
      <c r="D137" s="18"/>
      <c r="E137" s="15"/>
      <c r="F137" s="21"/>
      <c r="G137" s="21"/>
      <c r="H137" s="21"/>
      <c r="I137" s="15"/>
      <c r="J137" s="22" t="str">
        <f aca="false">IF(OR(F137="",F137=0),"",G137/F137)</f>
        <v/>
      </c>
      <c r="K137" s="8" t="str">
        <f aca="false">IF(OR(G137="",G137=0),"",E137/G137)</f>
        <v/>
      </c>
      <c r="L137" s="8" t="str">
        <f aca="false">IF(OR(H137="",H137=0),"",E137/H137)</f>
        <v/>
      </c>
      <c r="M137" s="12" t="str">
        <f aca="false">IF(OR(E137="",E137=0),"",I137/E137)</f>
        <v/>
      </c>
      <c r="N137" s="8" t="str">
        <f aca="false">IF(E137="","",I137-E137)</f>
        <v/>
      </c>
      <c r="O137" s="14" t="str">
        <f aca="false">IF(E137="","",IF(E137&lt;5,"Seguir probando",IF(M137="","",IF(M137&gt;=3,"Escalar (subir presupuesto)",IF(M137&gt;=1.5,"Optimizar creativo","Pausar o cambiar anuncio")))))</f>
        <v/>
      </c>
    </row>
    <row r="138" customFormat="false" ht="15" hidden="false" customHeight="false" outlineLevel="0" collapsed="false">
      <c r="A138" s="19"/>
      <c r="B138" s="18"/>
      <c r="C138" s="18"/>
      <c r="D138" s="18"/>
      <c r="E138" s="15"/>
      <c r="F138" s="21"/>
      <c r="G138" s="21"/>
      <c r="H138" s="21"/>
      <c r="I138" s="15"/>
      <c r="J138" s="22" t="str">
        <f aca="false">IF(OR(F138="",F138=0),"",G138/F138)</f>
        <v/>
      </c>
      <c r="K138" s="8" t="str">
        <f aca="false">IF(OR(G138="",G138=0),"",E138/G138)</f>
        <v/>
      </c>
      <c r="L138" s="8" t="str">
        <f aca="false">IF(OR(H138="",H138=0),"",E138/H138)</f>
        <v/>
      </c>
      <c r="M138" s="12" t="str">
        <f aca="false">IF(OR(E138="",E138=0),"",I138/E138)</f>
        <v/>
      </c>
      <c r="N138" s="8" t="str">
        <f aca="false">IF(E138="","",I138-E138)</f>
        <v/>
      </c>
      <c r="O138" s="14" t="str">
        <f aca="false">IF(E138="","",IF(E138&lt;5,"Seguir probando",IF(M138="","",IF(M138&gt;=3,"Escalar (subir presupuesto)",IF(M138&gt;=1.5,"Optimizar creativo","Pausar o cambiar anuncio")))))</f>
        <v/>
      </c>
    </row>
    <row r="139" customFormat="false" ht="15" hidden="false" customHeight="false" outlineLevel="0" collapsed="false">
      <c r="A139" s="19"/>
      <c r="B139" s="18"/>
      <c r="C139" s="18"/>
      <c r="D139" s="18"/>
      <c r="E139" s="15"/>
      <c r="F139" s="21"/>
      <c r="G139" s="21"/>
      <c r="H139" s="21"/>
      <c r="I139" s="15"/>
      <c r="J139" s="22" t="str">
        <f aca="false">IF(OR(F139="",F139=0),"",G139/F139)</f>
        <v/>
      </c>
      <c r="K139" s="8" t="str">
        <f aca="false">IF(OR(G139="",G139=0),"",E139/G139)</f>
        <v/>
      </c>
      <c r="L139" s="8" t="str">
        <f aca="false">IF(OR(H139="",H139=0),"",E139/H139)</f>
        <v/>
      </c>
      <c r="M139" s="12" t="str">
        <f aca="false">IF(OR(E139="",E139=0),"",I139/E139)</f>
        <v/>
      </c>
      <c r="N139" s="8" t="str">
        <f aca="false">IF(E139="","",I139-E139)</f>
        <v/>
      </c>
      <c r="O139" s="14" t="str">
        <f aca="false">IF(E139="","",IF(E139&lt;5,"Seguir probando",IF(M139="","",IF(M139&gt;=3,"Escalar (subir presupuesto)",IF(M139&gt;=1.5,"Optimizar creativo","Pausar o cambiar anuncio")))))</f>
        <v/>
      </c>
    </row>
    <row r="140" customFormat="false" ht="15" hidden="false" customHeight="false" outlineLevel="0" collapsed="false">
      <c r="A140" s="19"/>
      <c r="B140" s="18"/>
      <c r="C140" s="18"/>
      <c r="D140" s="18"/>
      <c r="E140" s="15"/>
      <c r="F140" s="21"/>
      <c r="G140" s="21"/>
      <c r="H140" s="21"/>
      <c r="I140" s="15"/>
      <c r="J140" s="22" t="str">
        <f aca="false">IF(OR(F140="",F140=0),"",G140/F140)</f>
        <v/>
      </c>
      <c r="K140" s="8" t="str">
        <f aca="false">IF(OR(G140="",G140=0),"",E140/G140)</f>
        <v/>
      </c>
      <c r="L140" s="8" t="str">
        <f aca="false">IF(OR(H140="",H140=0),"",E140/H140)</f>
        <v/>
      </c>
      <c r="M140" s="12" t="str">
        <f aca="false">IF(OR(E140="",E140=0),"",I140/E140)</f>
        <v/>
      </c>
      <c r="N140" s="8" t="str">
        <f aca="false">IF(E140="","",I140-E140)</f>
        <v/>
      </c>
      <c r="O140" s="14" t="str">
        <f aca="false">IF(E140="","",IF(E140&lt;5,"Seguir probando",IF(M140="","",IF(M140&gt;=3,"Escalar (subir presupuesto)",IF(M140&gt;=1.5,"Optimizar creativo","Pausar o cambiar anuncio")))))</f>
        <v/>
      </c>
    </row>
    <row r="141" customFormat="false" ht="15" hidden="false" customHeight="false" outlineLevel="0" collapsed="false">
      <c r="A141" s="19"/>
      <c r="B141" s="18"/>
      <c r="C141" s="18"/>
      <c r="D141" s="18"/>
      <c r="E141" s="15"/>
      <c r="F141" s="21"/>
      <c r="G141" s="21"/>
      <c r="H141" s="21"/>
      <c r="I141" s="15"/>
      <c r="J141" s="22" t="str">
        <f aca="false">IF(OR(F141="",F141=0),"",G141/F141)</f>
        <v/>
      </c>
      <c r="K141" s="8" t="str">
        <f aca="false">IF(OR(G141="",G141=0),"",E141/G141)</f>
        <v/>
      </c>
      <c r="L141" s="8" t="str">
        <f aca="false">IF(OR(H141="",H141=0),"",E141/H141)</f>
        <v/>
      </c>
      <c r="M141" s="12" t="str">
        <f aca="false">IF(OR(E141="",E141=0),"",I141/E141)</f>
        <v/>
      </c>
      <c r="N141" s="8" t="str">
        <f aca="false">IF(E141="","",I141-E141)</f>
        <v/>
      </c>
      <c r="O141" s="14" t="str">
        <f aca="false">IF(E141="","",IF(E141&lt;5,"Seguir probando",IF(M141="","",IF(M141&gt;=3,"Escalar (subir presupuesto)",IF(M141&gt;=1.5,"Optimizar creativo","Pausar o cambiar anuncio")))))</f>
        <v/>
      </c>
    </row>
    <row r="142" customFormat="false" ht="15" hidden="false" customHeight="false" outlineLevel="0" collapsed="false">
      <c r="A142" s="19"/>
      <c r="B142" s="18"/>
      <c r="C142" s="18"/>
      <c r="D142" s="18"/>
      <c r="E142" s="15"/>
      <c r="F142" s="21"/>
      <c r="G142" s="21"/>
      <c r="H142" s="21"/>
      <c r="I142" s="15"/>
      <c r="J142" s="22" t="str">
        <f aca="false">IF(OR(F142="",F142=0),"",G142/F142)</f>
        <v/>
      </c>
      <c r="K142" s="8" t="str">
        <f aca="false">IF(OR(G142="",G142=0),"",E142/G142)</f>
        <v/>
      </c>
      <c r="L142" s="8" t="str">
        <f aca="false">IF(OR(H142="",H142=0),"",E142/H142)</f>
        <v/>
      </c>
      <c r="M142" s="12" t="str">
        <f aca="false">IF(OR(E142="",E142=0),"",I142/E142)</f>
        <v/>
      </c>
      <c r="N142" s="8" t="str">
        <f aca="false">IF(E142="","",I142-E142)</f>
        <v/>
      </c>
      <c r="O142" s="14" t="str">
        <f aca="false">IF(E142="","",IF(E142&lt;5,"Seguir probando",IF(M142="","",IF(M142&gt;=3,"Escalar (subir presupuesto)",IF(M142&gt;=1.5,"Optimizar creativo","Pausar o cambiar anuncio")))))</f>
        <v/>
      </c>
    </row>
    <row r="143" customFormat="false" ht="15" hidden="false" customHeight="false" outlineLevel="0" collapsed="false">
      <c r="A143" s="19"/>
      <c r="B143" s="18"/>
      <c r="C143" s="18"/>
      <c r="D143" s="18"/>
      <c r="E143" s="15"/>
      <c r="F143" s="21"/>
      <c r="G143" s="21"/>
      <c r="H143" s="21"/>
      <c r="I143" s="15"/>
      <c r="J143" s="22" t="str">
        <f aca="false">IF(OR(F143="",F143=0),"",G143/F143)</f>
        <v/>
      </c>
      <c r="K143" s="8" t="str">
        <f aca="false">IF(OR(G143="",G143=0),"",E143/G143)</f>
        <v/>
      </c>
      <c r="L143" s="8" t="str">
        <f aca="false">IF(OR(H143="",H143=0),"",E143/H143)</f>
        <v/>
      </c>
      <c r="M143" s="12" t="str">
        <f aca="false">IF(OR(E143="",E143=0),"",I143/E143)</f>
        <v/>
      </c>
      <c r="N143" s="8" t="str">
        <f aca="false">IF(E143="","",I143-E143)</f>
        <v/>
      </c>
      <c r="O143" s="14" t="str">
        <f aca="false">IF(E143="","",IF(E143&lt;5,"Seguir probando",IF(M143="","",IF(M143&gt;=3,"Escalar (subir presupuesto)",IF(M143&gt;=1.5,"Optimizar creativo","Pausar o cambiar anuncio")))))</f>
        <v/>
      </c>
    </row>
    <row r="144" customFormat="false" ht="15" hidden="false" customHeight="false" outlineLevel="0" collapsed="false">
      <c r="A144" s="19"/>
      <c r="B144" s="18"/>
      <c r="C144" s="18"/>
      <c r="D144" s="18"/>
      <c r="E144" s="15"/>
      <c r="F144" s="21"/>
      <c r="G144" s="21"/>
      <c r="H144" s="21"/>
      <c r="I144" s="15"/>
      <c r="J144" s="22" t="str">
        <f aca="false">IF(OR(F144="",F144=0),"",G144/F144)</f>
        <v/>
      </c>
      <c r="K144" s="8" t="str">
        <f aca="false">IF(OR(G144="",G144=0),"",E144/G144)</f>
        <v/>
      </c>
      <c r="L144" s="8" t="str">
        <f aca="false">IF(OR(H144="",H144=0),"",E144/H144)</f>
        <v/>
      </c>
      <c r="M144" s="12" t="str">
        <f aca="false">IF(OR(E144="",E144=0),"",I144/E144)</f>
        <v/>
      </c>
      <c r="N144" s="8" t="str">
        <f aca="false">IF(E144="","",I144-E144)</f>
        <v/>
      </c>
      <c r="O144" s="14" t="str">
        <f aca="false">IF(E144="","",IF(E144&lt;5,"Seguir probando",IF(M144="","",IF(M144&gt;=3,"Escalar (subir presupuesto)",IF(M144&gt;=1.5,"Optimizar creativo","Pausar o cambiar anuncio")))))</f>
        <v/>
      </c>
    </row>
    <row r="145" customFormat="false" ht="15" hidden="false" customHeight="false" outlineLevel="0" collapsed="false">
      <c r="A145" s="19"/>
      <c r="B145" s="18"/>
      <c r="C145" s="18"/>
      <c r="D145" s="18"/>
      <c r="E145" s="15"/>
      <c r="F145" s="21"/>
      <c r="G145" s="21"/>
      <c r="H145" s="21"/>
      <c r="I145" s="15"/>
      <c r="J145" s="22" t="str">
        <f aca="false">IF(OR(F145="",F145=0),"",G145/F145)</f>
        <v/>
      </c>
      <c r="K145" s="8" t="str">
        <f aca="false">IF(OR(G145="",G145=0),"",E145/G145)</f>
        <v/>
      </c>
      <c r="L145" s="8" t="str">
        <f aca="false">IF(OR(H145="",H145=0),"",E145/H145)</f>
        <v/>
      </c>
      <c r="M145" s="12" t="str">
        <f aca="false">IF(OR(E145="",E145=0),"",I145/E145)</f>
        <v/>
      </c>
      <c r="N145" s="8" t="str">
        <f aca="false">IF(E145="","",I145-E145)</f>
        <v/>
      </c>
      <c r="O145" s="14" t="str">
        <f aca="false">IF(E145="","",IF(E145&lt;5,"Seguir probando",IF(M145="","",IF(M145&gt;=3,"Escalar (subir presupuesto)",IF(M145&gt;=1.5,"Optimizar creativo","Pausar o cambiar anuncio")))))</f>
        <v/>
      </c>
    </row>
    <row r="146" customFormat="false" ht="15" hidden="false" customHeight="false" outlineLevel="0" collapsed="false">
      <c r="A146" s="19"/>
      <c r="B146" s="18"/>
      <c r="C146" s="18"/>
      <c r="D146" s="18"/>
      <c r="E146" s="15"/>
      <c r="F146" s="21"/>
      <c r="G146" s="21"/>
      <c r="H146" s="21"/>
      <c r="I146" s="15"/>
      <c r="J146" s="22" t="str">
        <f aca="false">IF(OR(F146="",F146=0),"",G146/F146)</f>
        <v/>
      </c>
      <c r="K146" s="8" t="str">
        <f aca="false">IF(OR(G146="",G146=0),"",E146/G146)</f>
        <v/>
      </c>
      <c r="L146" s="8" t="str">
        <f aca="false">IF(OR(H146="",H146=0),"",E146/H146)</f>
        <v/>
      </c>
      <c r="M146" s="12" t="str">
        <f aca="false">IF(OR(E146="",E146=0),"",I146/E146)</f>
        <v/>
      </c>
      <c r="N146" s="8" t="str">
        <f aca="false">IF(E146="","",I146-E146)</f>
        <v/>
      </c>
      <c r="O146" s="14" t="str">
        <f aca="false">IF(E146="","",IF(E146&lt;5,"Seguir probando",IF(M146="","",IF(M146&gt;=3,"Escalar (subir presupuesto)",IF(M146&gt;=1.5,"Optimizar creativo","Pausar o cambiar anuncio")))))</f>
        <v/>
      </c>
    </row>
    <row r="147" customFormat="false" ht="15" hidden="false" customHeight="false" outlineLevel="0" collapsed="false">
      <c r="A147" s="19"/>
      <c r="B147" s="18"/>
      <c r="C147" s="18"/>
      <c r="D147" s="18"/>
      <c r="E147" s="15"/>
      <c r="F147" s="21"/>
      <c r="G147" s="21"/>
      <c r="H147" s="21"/>
      <c r="I147" s="15"/>
      <c r="J147" s="22" t="str">
        <f aca="false">IF(OR(F147="",F147=0),"",G147/F147)</f>
        <v/>
      </c>
      <c r="K147" s="8" t="str">
        <f aca="false">IF(OR(G147="",G147=0),"",E147/G147)</f>
        <v/>
      </c>
      <c r="L147" s="8" t="str">
        <f aca="false">IF(OR(H147="",H147=0),"",E147/H147)</f>
        <v/>
      </c>
      <c r="M147" s="12" t="str">
        <f aca="false">IF(OR(E147="",E147=0),"",I147/E147)</f>
        <v/>
      </c>
      <c r="N147" s="8" t="str">
        <f aca="false">IF(E147="","",I147-E147)</f>
        <v/>
      </c>
      <c r="O147" s="14" t="str">
        <f aca="false">IF(E147="","",IF(E147&lt;5,"Seguir probando",IF(M147="","",IF(M147&gt;=3,"Escalar (subir presupuesto)",IF(M147&gt;=1.5,"Optimizar creativo","Pausar o cambiar anuncio")))))</f>
        <v/>
      </c>
    </row>
    <row r="148" customFormat="false" ht="15" hidden="false" customHeight="false" outlineLevel="0" collapsed="false">
      <c r="A148" s="19"/>
      <c r="B148" s="18"/>
      <c r="C148" s="18"/>
      <c r="D148" s="18"/>
      <c r="E148" s="15"/>
      <c r="F148" s="21"/>
      <c r="G148" s="21"/>
      <c r="H148" s="21"/>
      <c r="I148" s="15"/>
      <c r="J148" s="22" t="str">
        <f aca="false">IF(OR(F148="",F148=0),"",G148/F148)</f>
        <v/>
      </c>
      <c r="K148" s="8" t="str">
        <f aca="false">IF(OR(G148="",G148=0),"",E148/G148)</f>
        <v/>
      </c>
      <c r="L148" s="8" t="str">
        <f aca="false">IF(OR(H148="",H148=0),"",E148/H148)</f>
        <v/>
      </c>
      <c r="M148" s="12" t="str">
        <f aca="false">IF(OR(E148="",E148=0),"",I148/E148)</f>
        <v/>
      </c>
      <c r="N148" s="8" t="str">
        <f aca="false">IF(E148="","",I148-E148)</f>
        <v/>
      </c>
      <c r="O148" s="14" t="str">
        <f aca="false">IF(E148="","",IF(E148&lt;5,"Seguir probando",IF(M148="","",IF(M148&gt;=3,"Escalar (subir presupuesto)",IF(M148&gt;=1.5,"Optimizar creativo","Pausar o cambiar anuncio")))))</f>
        <v/>
      </c>
    </row>
    <row r="149" customFormat="false" ht="15" hidden="false" customHeight="false" outlineLevel="0" collapsed="false">
      <c r="A149" s="19"/>
      <c r="B149" s="18"/>
      <c r="C149" s="18"/>
      <c r="D149" s="18"/>
      <c r="E149" s="15"/>
      <c r="F149" s="21"/>
      <c r="G149" s="21"/>
      <c r="H149" s="21"/>
      <c r="I149" s="15"/>
      <c r="J149" s="22" t="str">
        <f aca="false">IF(OR(F149="",F149=0),"",G149/F149)</f>
        <v/>
      </c>
      <c r="K149" s="8" t="str">
        <f aca="false">IF(OR(G149="",G149=0),"",E149/G149)</f>
        <v/>
      </c>
      <c r="L149" s="8" t="str">
        <f aca="false">IF(OR(H149="",H149=0),"",E149/H149)</f>
        <v/>
      </c>
      <c r="M149" s="12" t="str">
        <f aca="false">IF(OR(E149="",E149=0),"",I149/E149)</f>
        <v/>
      </c>
      <c r="N149" s="8" t="str">
        <f aca="false">IF(E149="","",I149-E149)</f>
        <v/>
      </c>
      <c r="O149" s="14" t="str">
        <f aca="false">IF(E149="","",IF(E149&lt;5,"Seguir probando",IF(M149="","",IF(M149&gt;=3,"Escalar (subir presupuesto)",IF(M149&gt;=1.5,"Optimizar creativo","Pausar o cambiar anuncio")))))</f>
        <v/>
      </c>
    </row>
    <row r="150" customFormat="false" ht="15" hidden="false" customHeight="false" outlineLevel="0" collapsed="false">
      <c r="A150" s="19"/>
      <c r="B150" s="18"/>
      <c r="C150" s="18"/>
      <c r="D150" s="18"/>
      <c r="E150" s="15"/>
      <c r="F150" s="21"/>
      <c r="G150" s="21"/>
      <c r="H150" s="21"/>
      <c r="I150" s="15"/>
      <c r="J150" s="22" t="str">
        <f aca="false">IF(OR(F150="",F150=0),"",G150/F150)</f>
        <v/>
      </c>
      <c r="K150" s="8" t="str">
        <f aca="false">IF(OR(G150="",G150=0),"",E150/G150)</f>
        <v/>
      </c>
      <c r="L150" s="8" t="str">
        <f aca="false">IF(OR(H150="",H150=0),"",E150/H150)</f>
        <v/>
      </c>
      <c r="M150" s="12" t="str">
        <f aca="false">IF(OR(E150="",E150=0),"",I150/E150)</f>
        <v/>
      </c>
      <c r="N150" s="8" t="str">
        <f aca="false">IF(E150="","",I150-E150)</f>
        <v/>
      </c>
      <c r="O150" s="14" t="str">
        <f aca="false">IF(E150="","",IF(E150&lt;5,"Seguir probando",IF(M150="","",IF(M150&gt;=3,"Escalar (subir presupuesto)",IF(M150&gt;=1.5,"Optimizar creativo","Pausar o cambiar anuncio")))))</f>
        <v/>
      </c>
    </row>
    <row r="151" customFormat="false" ht="15" hidden="false" customHeight="false" outlineLevel="0" collapsed="false">
      <c r="A151" s="19"/>
      <c r="B151" s="18"/>
      <c r="C151" s="18"/>
      <c r="D151" s="18"/>
      <c r="E151" s="15"/>
      <c r="F151" s="21"/>
      <c r="G151" s="21"/>
      <c r="H151" s="21"/>
      <c r="I151" s="15"/>
      <c r="J151" s="22" t="str">
        <f aca="false">IF(OR(F151="",F151=0),"",G151/F151)</f>
        <v/>
      </c>
      <c r="K151" s="8" t="str">
        <f aca="false">IF(OR(G151="",G151=0),"",E151/G151)</f>
        <v/>
      </c>
      <c r="L151" s="8" t="str">
        <f aca="false">IF(OR(H151="",H151=0),"",E151/H151)</f>
        <v/>
      </c>
      <c r="M151" s="12" t="str">
        <f aca="false">IF(OR(E151="",E151=0),"",I151/E151)</f>
        <v/>
      </c>
      <c r="N151" s="8" t="str">
        <f aca="false">IF(E151="","",I151-E151)</f>
        <v/>
      </c>
      <c r="O151" s="14" t="str">
        <f aca="false">IF(E151="","",IF(E151&lt;5,"Seguir probando",IF(M151="","",IF(M151&gt;=3,"Escalar (subir presupuesto)",IF(M151&gt;=1.5,"Optimizar creativo","Pausar o cambiar anuncio")))))</f>
        <v/>
      </c>
    </row>
    <row r="152" customFormat="false" ht="15" hidden="false" customHeight="false" outlineLevel="0" collapsed="false">
      <c r="A152" s="19"/>
      <c r="B152" s="18"/>
      <c r="C152" s="18"/>
      <c r="D152" s="18"/>
      <c r="E152" s="15"/>
      <c r="F152" s="21"/>
      <c r="G152" s="21"/>
      <c r="H152" s="21"/>
      <c r="I152" s="15"/>
      <c r="J152" s="22" t="str">
        <f aca="false">IF(OR(F152="",F152=0),"",G152/F152)</f>
        <v/>
      </c>
      <c r="K152" s="8" t="str">
        <f aca="false">IF(OR(G152="",G152=0),"",E152/G152)</f>
        <v/>
      </c>
      <c r="L152" s="8" t="str">
        <f aca="false">IF(OR(H152="",H152=0),"",E152/H152)</f>
        <v/>
      </c>
      <c r="M152" s="12" t="str">
        <f aca="false">IF(OR(E152="",E152=0),"",I152/E152)</f>
        <v/>
      </c>
      <c r="N152" s="8" t="str">
        <f aca="false">IF(E152="","",I152-E152)</f>
        <v/>
      </c>
      <c r="O152" s="14" t="str">
        <f aca="false">IF(E152="","",IF(E152&lt;5,"Seguir probando",IF(M152="","",IF(M152&gt;=3,"Escalar (subir presupuesto)",IF(M152&gt;=1.5,"Optimizar creativo","Pausar o cambiar anuncio")))))</f>
        <v/>
      </c>
    </row>
    <row r="153" customFormat="false" ht="15" hidden="false" customHeight="false" outlineLevel="0" collapsed="false">
      <c r="A153" s="19"/>
      <c r="B153" s="18"/>
      <c r="C153" s="18"/>
      <c r="D153" s="18"/>
      <c r="E153" s="15"/>
      <c r="F153" s="21"/>
      <c r="G153" s="21"/>
      <c r="H153" s="21"/>
      <c r="I153" s="15"/>
      <c r="J153" s="22" t="str">
        <f aca="false">IF(OR(F153="",F153=0),"",G153/F153)</f>
        <v/>
      </c>
      <c r="K153" s="8" t="str">
        <f aca="false">IF(OR(G153="",G153=0),"",E153/G153)</f>
        <v/>
      </c>
      <c r="L153" s="8" t="str">
        <f aca="false">IF(OR(H153="",H153=0),"",E153/H153)</f>
        <v/>
      </c>
      <c r="M153" s="12" t="str">
        <f aca="false">IF(OR(E153="",E153=0),"",I153/E153)</f>
        <v/>
      </c>
      <c r="N153" s="8" t="str">
        <f aca="false">IF(E153="","",I153-E153)</f>
        <v/>
      </c>
      <c r="O153" s="14" t="str">
        <f aca="false">IF(E153="","",IF(E153&lt;5,"Seguir probando",IF(M153="","",IF(M153&gt;=3,"Escalar (subir presupuesto)",IF(M153&gt;=1.5,"Optimizar creativo","Pausar o cambiar anuncio")))))</f>
        <v/>
      </c>
    </row>
    <row r="154" customFormat="false" ht="15" hidden="false" customHeight="false" outlineLevel="0" collapsed="false">
      <c r="A154" s="19"/>
      <c r="B154" s="18"/>
      <c r="C154" s="18"/>
      <c r="D154" s="18"/>
      <c r="E154" s="15"/>
      <c r="F154" s="21"/>
      <c r="G154" s="21"/>
      <c r="H154" s="21"/>
      <c r="I154" s="15"/>
      <c r="J154" s="22" t="str">
        <f aca="false">IF(OR(F154="",F154=0),"",G154/F154)</f>
        <v/>
      </c>
      <c r="K154" s="8" t="str">
        <f aca="false">IF(OR(G154="",G154=0),"",E154/G154)</f>
        <v/>
      </c>
      <c r="L154" s="8" t="str">
        <f aca="false">IF(OR(H154="",H154=0),"",E154/H154)</f>
        <v/>
      </c>
      <c r="M154" s="12" t="str">
        <f aca="false">IF(OR(E154="",E154=0),"",I154/E154)</f>
        <v/>
      </c>
      <c r="N154" s="8" t="str">
        <f aca="false">IF(E154="","",I154-E154)</f>
        <v/>
      </c>
      <c r="O154" s="14" t="str">
        <f aca="false">IF(E154="","",IF(E154&lt;5,"Seguir probando",IF(M154="","",IF(M154&gt;=3,"Escalar (subir presupuesto)",IF(M154&gt;=1.5,"Optimizar creativo","Pausar o cambiar anuncio")))))</f>
        <v/>
      </c>
    </row>
    <row r="155" customFormat="false" ht="15" hidden="false" customHeight="false" outlineLevel="0" collapsed="false">
      <c r="A155" s="19"/>
      <c r="B155" s="18"/>
      <c r="C155" s="18"/>
      <c r="D155" s="18"/>
      <c r="E155" s="15"/>
      <c r="F155" s="21"/>
      <c r="G155" s="21"/>
      <c r="H155" s="21"/>
      <c r="I155" s="15"/>
      <c r="J155" s="22" t="str">
        <f aca="false">IF(OR(F155="",F155=0),"",G155/F155)</f>
        <v/>
      </c>
      <c r="K155" s="8" t="str">
        <f aca="false">IF(OR(G155="",G155=0),"",E155/G155)</f>
        <v/>
      </c>
      <c r="L155" s="8" t="str">
        <f aca="false">IF(OR(H155="",H155=0),"",E155/H155)</f>
        <v/>
      </c>
      <c r="M155" s="12" t="str">
        <f aca="false">IF(OR(E155="",E155=0),"",I155/E155)</f>
        <v/>
      </c>
      <c r="N155" s="8" t="str">
        <f aca="false">IF(E155="","",I155-E155)</f>
        <v/>
      </c>
      <c r="O155" s="14" t="str">
        <f aca="false">IF(E155="","",IF(E155&lt;5,"Seguir probando",IF(M155="","",IF(M155&gt;=3,"Escalar (subir presupuesto)",IF(M155&gt;=1.5,"Optimizar creativo","Pausar o cambiar anuncio")))))</f>
        <v/>
      </c>
    </row>
    <row r="156" customFormat="false" ht="15" hidden="false" customHeight="false" outlineLevel="0" collapsed="false">
      <c r="A156" s="19"/>
      <c r="B156" s="18"/>
      <c r="C156" s="18"/>
      <c r="D156" s="18"/>
      <c r="E156" s="15"/>
      <c r="F156" s="21"/>
      <c r="G156" s="21"/>
      <c r="H156" s="21"/>
      <c r="I156" s="15"/>
      <c r="J156" s="22" t="str">
        <f aca="false">IF(OR(F156="",F156=0),"",G156/F156)</f>
        <v/>
      </c>
      <c r="K156" s="8" t="str">
        <f aca="false">IF(OR(G156="",G156=0),"",E156/G156)</f>
        <v/>
      </c>
      <c r="L156" s="8" t="str">
        <f aca="false">IF(OR(H156="",H156=0),"",E156/H156)</f>
        <v/>
      </c>
      <c r="M156" s="12" t="str">
        <f aca="false">IF(OR(E156="",E156=0),"",I156/E156)</f>
        <v/>
      </c>
      <c r="N156" s="8" t="str">
        <f aca="false">IF(E156="","",I156-E156)</f>
        <v/>
      </c>
      <c r="O156" s="14" t="str">
        <f aca="false">IF(E156="","",IF(E156&lt;5,"Seguir probando",IF(M156="","",IF(M156&gt;=3,"Escalar (subir presupuesto)",IF(M156&gt;=1.5,"Optimizar creativo","Pausar o cambiar anuncio")))))</f>
        <v/>
      </c>
    </row>
    <row r="157" customFormat="false" ht="15" hidden="false" customHeight="false" outlineLevel="0" collapsed="false">
      <c r="A157" s="19"/>
      <c r="B157" s="18"/>
      <c r="C157" s="18"/>
      <c r="D157" s="18"/>
      <c r="E157" s="15"/>
      <c r="F157" s="21"/>
      <c r="G157" s="21"/>
      <c r="H157" s="21"/>
      <c r="I157" s="15"/>
      <c r="J157" s="22" t="str">
        <f aca="false">IF(OR(F157="",F157=0),"",G157/F157)</f>
        <v/>
      </c>
      <c r="K157" s="8" t="str">
        <f aca="false">IF(OR(G157="",G157=0),"",E157/G157)</f>
        <v/>
      </c>
      <c r="L157" s="8" t="str">
        <f aca="false">IF(OR(H157="",H157=0),"",E157/H157)</f>
        <v/>
      </c>
      <c r="M157" s="12" t="str">
        <f aca="false">IF(OR(E157="",E157=0),"",I157/E157)</f>
        <v/>
      </c>
      <c r="N157" s="8" t="str">
        <f aca="false">IF(E157="","",I157-E157)</f>
        <v/>
      </c>
      <c r="O157" s="14" t="str">
        <f aca="false">IF(E157="","",IF(E157&lt;5,"Seguir probando",IF(M157="","",IF(M157&gt;=3,"Escalar (subir presupuesto)",IF(M157&gt;=1.5,"Optimizar creativo","Pausar o cambiar anuncio")))))</f>
        <v/>
      </c>
    </row>
    <row r="158" customFormat="false" ht="15" hidden="false" customHeight="false" outlineLevel="0" collapsed="false">
      <c r="A158" s="19"/>
      <c r="B158" s="18"/>
      <c r="C158" s="18"/>
      <c r="D158" s="18"/>
      <c r="E158" s="15"/>
      <c r="F158" s="21"/>
      <c r="G158" s="21"/>
      <c r="H158" s="21"/>
      <c r="I158" s="15"/>
      <c r="J158" s="22" t="str">
        <f aca="false">IF(OR(F158="",F158=0),"",G158/F158)</f>
        <v/>
      </c>
      <c r="K158" s="8" t="str">
        <f aca="false">IF(OR(G158="",G158=0),"",E158/G158)</f>
        <v/>
      </c>
      <c r="L158" s="8" t="str">
        <f aca="false">IF(OR(H158="",H158=0),"",E158/H158)</f>
        <v/>
      </c>
      <c r="M158" s="12" t="str">
        <f aca="false">IF(OR(E158="",E158=0),"",I158/E158)</f>
        <v/>
      </c>
      <c r="N158" s="8" t="str">
        <f aca="false">IF(E158="","",I158-E158)</f>
        <v/>
      </c>
      <c r="O158" s="14" t="str">
        <f aca="false">IF(E158="","",IF(E158&lt;5,"Seguir probando",IF(M158="","",IF(M158&gt;=3,"Escalar (subir presupuesto)",IF(M158&gt;=1.5,"Optimizar creativo","Pausar o cambiar anuncio")))))</f>
        <v/>
      </c>
    </row>
    <row r="159" customFormat="false" ht="15" hidden="false" customHeight="false" outlineLevel="0" collapsed="false">
      <c r="A159" s="19"/>
      <c r="B159" s="18"/>
      <c r="C159" s="18"/>
      <c r="D159" s="18"/>
      <c r="E159" s="15"/>
      <c r="F159" s="21"/>
      <c r="G159" s="21"/>
      <c r="H159" s="21"/>
      <c r="I159" s="15"/>
      <c r="J159" s="22" t="str">
        <f aca="false">IF(OR(F159="",F159=0),"",G159/F159)</f>
        <v/>
      </c>
      <c r="K159" s="8" t="str">
        <f aca="false">IF(OR(G159="",G159=0),"",E159/G159)</f>
        <v/>
      </c>
      <c r="L159" s="8" t="str">
        <f aca="false">IF(OR(H159="",H159=0),"",E159/H159)</f>
        <v/>
      </c>
      <c r="M159" s="12" t="str">
        <f aca="false">IF(OR(E159="",E159=0),"",I159/E159)</f>
        <v/>
      </c>
      <c r="N159" s="8" t="str">
        <f aca="false">IF(E159="","",I159-E159)</f>
        <v/>
      </c>
      <c r="O159" s="14" t="str">
        <f aca="false">IF(E159="","",IF(E159&lt;5,"Seguir probando",IF(M159="","",IF(M159&gt;=3,"Escalar (subir presupuesto)",IF(M159&gt;=1.5,"Optimizar creativo","Pausar o cambiar anuncio")))))</f>
        <v/>
      </c>
    </row>
    <row r="160" customFormat="false" ht="15" hidden="false" customHeight="false" outlineLevel="0" collapsed="false">
      <c r="A160" s="19"/>
      <c r="B160" s="18"/>
      <c r="C160" s="18"/>
      <c r="D160" s="18"/>
      <c r="E160" s="15"/>
      <c r="F160" s="21"/>
      <c r="G160" s="21"/>
      <c r="H160" s="21"/>
      <c r="I160" s="15"/>
      <c r="J160" s="22" t="str">
        <f aca="false">IF(OR(F160="",F160=0),"",G160/F160)</f>
        <v/>
      </c>
      <c r="K160" s="8" t="str">
        <f aca="false">IF(OR(G160="",G160=0),"",E160/G160)</f>
        <v/>
      </c>
      <c r="L160" s="8" t="str">
        <f aca="false">IF(OR(H160="",H160=0),"",E160/H160)</f>
        <v/>
      </c>
      <c r="M160" s="12" t="str">
        <f aca="false">IF(OR(E160="",E160=0),"",I160/E160)</f>
        <v/>
      </c>
      <c r="N160" s="8" t="str">
        <f aca="false">IF(E160="","",I160-E160)</f>
        <v/>
      </c>
      <c r="O160" s="14" t="str">
        <f aca="false">IF(E160="","",IF(E160&lt;5,"Seguir probando",IF(M160="","",IF(M160&gt;=3,"Escalar (subir presupuesto)",IF(M160&gt;=1.5,"Optimizar creativo","Pausar o cambiar anuncio")))))</f>
        <v/>
      </c>
    </row>
    <row r="161" customFormat="false" ht="15" hidden="false" customHeight="false" outlineLevel="0" collapsed="false">
      <c r="A161" s="19"/>
      <c r="B161" s="18"/>
      <c r="C161" s="18"/>
      <c r="D161" s="18"/>
      <c r="E161" s="15"/>
      <c r="F161" s="21"/>
      <c r="G161" s="21"/>
      <c r="H161" s="21"/>
      <c r="I161" s="15"/>
      <c r="J161" s="22" t="str">
        <f aca="false">IF(OR(F161="",F161=0),"",G161/F161)</f>
        <v/>
      </c>
      <c r="K161" s="8" t="str">
        <f aca="false">IF(OR(G161="",G161=0),"",E161/G161)</f>
        <v/>
      </c>
      <c r="L161" s="8" t="str">
        <f aca="false">IF(OR(H161="",H161=0),"",E161/H161)</f>
        <v/>
      </c>
      <c r="M161" s="12" t="str">
        <f aca="false">IF(OR(E161="",E161=0),"",I161/E161)</f>
        <v/>
      </c>
      <c r="N161" s="8" t="str">
        <f aca="false">IF(E161="","",I161-E161)</f>
        <v/>
      </c>
      <c r="O161" s="14" t="str">
        <f aca="false">IF(E161="","",IF(E161&lt;5,"Seguir probando",IF(M161="","",IF(M161&gt;=3,"Escalar (subir presupuesto)",IF(M161&gt;=1.5,"Optimizar creativo","Pausar o cambiar anuncio")))))</f>
        <v/>
      </c>
    </row>
    <row r="162" customFormat="false" ht="15" hidden="false" customHeight="false" outlineLevel="0" collapsed="false">
      <c r="A162" s="19"/>
      <c r="B162" s="18"/>
      <c r="C162" s="18"/>
      <c r="D162" s="18"/>
      <c r="E162" s="15"/>
      <c r="F162" s="21"/>
      <c r="G162" s="21"/>
      <c r="H162" s="21"/>
      <c r="I162" s="15"/>
      <c r="J162" s="22" t="str">
        <f aca="false">IF(OR(F162="",F162=0),"",G162/F162)</f>
        <v/>
      </c>
      <c r="K162" s="8" t="str">
        <f aca="false">IF(OR(G162="",G162=0),"",E162/G162)</f>
        <v/>
      </c>
      <c r="L162" s="8" t="str">
        <f aca="false">IF(OR(H162="",H162=0),"",E162/H162)</f>
        <v/>
      </c>
      <c r="M162" s="12" t="str">
        <f aca="false">IF(OR(E162="",E162=0),"",I162/E162)</f>
        <v/>
      </c>
      <c r="N162" s="8" t="str">
        <f aca="false">IF(E162="","",I162-E162)</f>
        <v/>
      </c>
      <c r="O162" s="14" t="str">
        <f aca="false">IF(E162="","",IF(E162&lt;5,"Seguir probando",IF(M162="","",IF(M162&gt;=3,"Escalar (subir presupuesto)",IF(M162&gt;=1.5,"Optimizar creativo","Pausar o cambiar anuncio")))))</f>
        <v/>
      </c>
    </row>
    <row r="163" customFormat="false" ht="15" hidden="false" customHeight="false" outlineLevel="0" collapsed="false">
      <c r="A163" s="19"/>
      <c r="B163" s="18"/>
      <c r="C163" s="18"/>
      <c r="D163" s="18"/>
      <c r="E163" s="15"/>
      <c r="F163" s="21"/>
      <c r="G163" s="21"/>
      <c r="H163" s="21"/>
      <c r="I163" s="15"/>
      <c r="J163" s="22" t="str">
        <f aca="false">IF(OR(F163="",F163=0),"",G163/F163)</f>
        <v/>
      </c>
      <c r="K163" s="8" t="str">
        <f aca="false">IF(OR(G163="",G163=0),"",E163/G163)</f>
        <v/>
      </c>
      <c r="L163" s="8" t="str">
        <f aca="false">IF(OR(H163="",H163=0),"",E163/H163)</f>
        <v/>
      </c>
      <c r="M163" s="12" t="str">
        <f aca="false">IF(OR(E163="",E163=0),"",I163/E163)</f>
        <v/>
      </c>
      <c r="N163" s="8" t="str">
        <f aca="false">IF(E163="","",I163-E163)</f>
        <v/>
      </c>
      <c r="O163" s="14" t="str">
        <f aca="false">IF(E163="","",IF(E163&lt;5,"Seguir probando",IF(M163="","",IF(M163&gt;=3,"Escalar (subir presupuesto)",IF(M163&gt;=1.5,"Optimizar creativo","Pausar o cambiar anuncio")))))</f>
        <v/>
      </c>
    </row>
    <row r="164" customFormat="false" ht="15" hidden="false" customHeight="false" outlineLevel="0" collapsed="false">
      <c r="A164" s="19"/>
      <c r="B164" s="18"/>
      <c r="C164" s="18"/>
      <c r="D164" s="18"/>
      <c r="E164" s="15"/>
      <c r="F164" s="21"/>
      <c r="G164" s="21"/>
      <c r="H164" s="21"/>
      <c r="I164" s="15"/>
      <c r="J164" s="22" t="str">
        <f aca="false">IF(OR(F164="",F164=0),"",G164/F164)</f>
        <v/>
      </c>
      <c r="K164" s="8" t="str">
        <f aca="false">IF(OR(G164="",G164=0),"",E164/G164)</f>
        <v/>
      </c>
      <c r="L164" s="8" t="str">
        <f aca="false">IF(OR(H164="",H164=0),"",E164/H164)</f>
        <v/>
      </c>
      <c r="M164" s="12" t="str">
        <f aca="false">IF(OR(E164="",E164=0),"",I164/E164)</f>
        <v/>
      </c>
      <c r="N164" s="8" t="str">
        <f aca="false">IF(E164="","",I164-E164)</f>
        <v/>
      </c>
      <c r="O164" s="14" t="str">
        <f aca="false">IF(E164="","",IF(E164&lt;5,"Seguir probando",IF(M164="","",IF(M164&gt;=3,"Escalar (subir presupuesto)",IF(M164&gt;=1.5,"Optimizar creativo","Pausar o cambiar anuncio")))))</f>
        <v/>
      </c>
    </row>
    <row r="165" customFormat="false" ht="15" hidden="false" customHeight="false" outlineLevel="0" collapsed="false">
      <c r="A165" s="19"/>
      <c r="B165" s="18"/>
      <c r="C165" s="18"/>
      <c r="D165" s="18"/>
      <c r="E165" s="15"/>
      <c r="F165" s="21"/>
      <c r="G165" s="21"/>
      <c r="H165" s="21"/>
      <c r="I165" s="15"/>
      <c r="J165" s="22" t="str">
        <f aca="false">IF(OR(F165="",F165=0),"",G165/F165)</f>
        <v/>
      </c>
      <c r="K165" s="8" t="str">
        <f aca="false">IF(OR(G165="",G165=0),"",E165/G165)</f>
        <v/>
      </c>
      <c r="L165" s="8" t="str">
        <f aca="false">IF(OR(H165="",H165=0),"",E165/H165)</f>
        <v/>
      </c>
      <c r="M165" s="12" t="str">
        <f aca="false">IF(OR(E165="",E165=0),"",I165/E165)</f>
        <v/>
      </c>
      <c r="N165" s="8" t="str">
        <f aca="false">IF(E165="","",I165-E165)</f>
        <v/>
      </c>
      <c r="O165" s="14" t="str">
        <f aca="false">IF(E165="","",IF(E165&lt;5,"Seguir probando",IF(M165="","",IF(M165&gt;=3,"Escalar (subir presupuesto)",IF(M165&gt;=1.5,"Optimizar creativo","Pausar o cambiar anuncio")))))</f>
        <v/>
      </c>
    </row>
    <row r="166" customFormat="false" ht="15" hidden="false" customHeight="false" outlineLevel="0" collapsed="false">
      <c r="A166" s="19"/>
      <c r="B166" s="18"/>
      <c r="C166" s="18"/>
      <c r="D166" s="18"/>
      <c r="E166" s="15"/>
      <c r="F166" s="21"/>
      <c r="G166" s="21"/>
      <c r="H166" s="21"/>
      <c r="I166" s="15"/>
      <c r="J166" s="22" t="str">
        <f aca="false">IF(OR(F166="",F166=0),"",G166/F166)</f>
        <v/>
      </c>
      <c r="K166" s="8" t="str">
        <f aca="false">IF(OR(G166="",G166=0),"",E166/G166)</f>
        <v/>
      </c>
      <c r="L166" s="8" t="str">
        <f aca="false">IF(OR(H166="",H166=0),"",E166/H166)</f>
        <v/>
      </c>
      <c r="M166" s="12" t="str">
        <f aca="false">IF(OR(E166="",E166=0),"",I166/E166)</f>
        <v/>
      </c>
      <c r="N166" s="8" t="str">
        <f aca="false">IF(E166="","",I166-E166)</f>
        <v/>
      </c>
      <c r="O166" s="14" t="str">
        <f aca="false">IF(E166="","",IF(E166&lt;5,"Seguir probando",IF(M166="","",IF(M166&gt;=3,"Escalar (subir presupuesto)",IF(M166&gt;=1.5,"Optimizar creativo","Pausar o cambiar anuncio")))))</f>
        <v/>
      </c>
    </row>
    <row r="167" customFormat="false" ht="15" hidden="false" customHeight="false" outlineLevel="0" collapsed="false">
      <c r="A167" s="19"/>
      <c r="B167" s="18"/>
      <c r="C167" s="18"/>
      <c r="D167" s="18"/>
      <c r="E167" s="15"/>
      <c r="F167" s="21"/>
      <c r="G167" s="21"/>
      <c r="H167" s="21"/>
      <c r="I167" s="15"/>
      <c r="J167" s="22" t="str">
        <f aca="false">IF(OR(F167="",F167=0),"",G167/F167)</f>
        <v/>
      </c>
      <c r="K167" s="8" t="str">
        <f aca="false">IF(OR(G167="",G167=0),"",E167/G167)</f>
        <v/>
      </c>
      <c r="L167" s="8" t="str">
        <f aca="false">IF(OR(H167="",H167=0),"",E167/H167)</f>
        <v/>
      </c>
      <c r="M167" s="12" t="str">
        <f aca="false">IF(OR(E167="",E167=0),"",I167/E167)</f>
        <v/>
      </c>
      <c r="N167" s="8" t="str">
        <f aca="false">IF(E167="","",I167-E167)</f>
        <v/>
      </c>
      <c r="O167" s="14" t="str">
        <f aca="false">IF(E167="","",IF(E167&lt;5,"Seguir probando",IF(M167="","",IF(M167&gt;=3,"Escalar (subir presupuesto)",IF(M167&gt;=1.5,"Optimizar creativo","Pausar o cambiar anuncio")))))</f>
        <v/>
      </c>
    </row>
    <row r="168" customFormat="false" ht="15" hidden="false" customHeight="false" outlineLevel="0" collapsed="false">
      <c r="A168" s="19"/>
      <c r="B168" s="18"/>
      <c r="C168" s="18"/>
      <c r="D168" s="18"/>
      <c r="E168" s="15"/>
      <c r="F168" s="21"/>
      <c r="G168" s="21"/>
      <c r="H168" s="21"/>
      <c r="I168" s="15"/>
      <c r="J168" s="22" t="str">
        <f aca="false">IF(OR(F168="",F168=0),"",G168/F168)</f>
        <v/>
      </c>
      <c r="K168" s="8" t="str">
        <f aca="false">IF(OR(G168="",G168=0),"",E168/G168)</f>
        <v/>
      </c>
      <c r="L168" s="8" t="str">
        <f aca="false">IF(OR(H168="",H168=0),"",E168/H168)</f>
        <v/>
      </c>
      <c r="M168" s="12" t="str">
        <f aca="false">IF(OR(E168="",E168=0),"",I168/E168)</f>
        <v/>
      </c>
      <c r="N168" s="8" t="str">
        <f aca="false">IF(E168="","",I168-E168)</f>
        <v/>
      </c>
      <c r="O168" s="14" t="str">
        <f aca="false">IF(E168="","",IF(E168&lt;5,"Seguir probando",IF(M168="","",IF(M168&gt;=3,"Escalar (subir presupuesto)",IF(M168&gt;=1.5,"Optimizar creativo","Pausar o cambiar anuncio")))))</f>
        <v/>
      </c>
    </row>
    <row r="169" customFormat="false" ht="15" hidden="false" customHeight="false" outlineLevel="0" collapsed="false">
      <c r="A169" s="19"/>
      <c r="B169" s="18"/>
      <c r="C169" s="18"/>
      <c r="D169" s="18"/>
      <c r="E169" s="15"/>
      <c r="F169" s="21"/>
      <c r="G169" s="21"/>
      <c r="H169" s="21"/>
      <c r="I169" s="15"/>
      <c r="J169" s="22" t="str">
        <f aca="false">IF(OR(F169="",F169=0),"",G169/F169)</f>
        <v/>
      </c>
      <c r="K169" s="8" t="str">
        <f aca="false">IF(OR(G169="",G169=0),"",E169/G169)</f>
        <v/>
      </c>
      <c r="L169" s="8" t="str">
        <f aca="false">IF(OR(H169="",H169=0),"",E169/H169)</f>
        <v/>
      </c>
      <c r="M169" s="12" t="str">
        <f aca="false">IF(OR(E169="",E169=0),"",I169/E169)</f>
        <v/>
      </c>
      <c r="N169" s="8" t="str">
        <f aca="false">IF(E169="","",I169-E169)</f>
        <v/>
      </c>
      <c r="O169" s="14" t="str">
        <f aca="false">IF(E169="","",IF(E169&lt;5,"Seguir probando",IF(M169="","",IF(M169&gt;=3,"Escalar (subir presupuesto)",IF(M169&gt;=1.5,"Optimizar creativo","Pausar o cambiar anuncio")))))</f>
        <v/>
      </c>
    </row>
    <row r="170" customFormat="false" ht="15" hidden="false" customHeight="false" outlineLevel="0" collapsed="false">
      <c r="A170" s="19"/>
      <c r="B170" s="18"/>
      <c r="C170" s="18"/>
      <c r="D170" s="18"/>
      <c r="E170" s="15"/>
      <c r="F170" s="21"/>
      <c r="G170" s="21"/>
      <c r="H170" s="21"/>
      <c r="I170" s="15"/>
      <c r="J170" s="22" t="str">
        <f aca="false">IF(OR(F170="",F170=0),"",G170/F170)</f>
        <v/>
      </c>
      <c r="K170" s="8" t="str">
        <f aca="false">IF(OR(G170="",G170=0),"",E170/G170)</f>
        <v/>
      </c>
      <c r="L170" s="8" t="str">
        <f aca="false">IF(OR(H170="",H170=0),"",E170/H170)</f>
        <v/>
      </c>
      <c r="M170" s="12" t="str">
        <f aca="false">IF(OR(E170="",E170=0),"",I170/E170)</f>
        <v/>
      </c>
      <c r="N170" s="8" t="str">
        <f aca="false">IF(E170="","",I170-E170)</f>
        <v/>
      </c>
      <c r="O170" s="14" t="str">
        <f aca="false">IF(E170="","",IF(E170&lt;5,"Seguir probando",IF(M170="","",IF(M170&gt;=3,"Escalar (subir presupuesto)",IF(M170&gt;=1.5,"Optimizar creativo","Pausar o cambiar anuncio")))))</f>
        <v/>
      </c>
    </row>
    <row r="171" customFormat="false" ht="15" hidden="false" customHeight="false" outlineLevel="0" collapsed="false">
      <c r="A171" s="19"/>
      <c r="B171" s="18"/>
      <c r="C171" s="18"/>
      <c r="D171" s="18"/>
      <c r="E171" s="15"/>
      <c r="F171" s="21"/>
      <c r="G171" s="21"/>
      <c r="H171" s="21"/>
      <c r="I171" s="15"/>
      <c r="J171" s="22" t="str">
        <f aca="false">IF(OR(F171="",F171=0),"",G171/F171)</f>
        <v/>
      </c>
      <c r="K171" s="8" t="str">
        <f aca="false">IF(OR(G171="",G171=0),"",E171/G171)</f>
        <v/>
      </c>
      <c r="L171" s="8" t="str">
        <f aca="false">IF(OR(H171="",H171=0),"",E171/H171)</f>
        <v/>
      </c>
      <c r="M171" s="12" t="str">
        <f aca="false">IF(OR(E171="",E171=0),"",I171/E171)</f>
        <v/>
      </c>
      <c r="N171" s="8" t="str">
        <f aca="false">IF(E171="","",I171-E171)</f>
        <v/>
      </c>
      <c r="O171" s="14" t="str">
        <f aca="false">IF(E171="","",IF(E171&lt;5,"Seguir probando",IF(M171="","",IF(M171&gt;=3,"Escalar (subir presupuesto)",IF(M171&gt;=1.5,"Optimizar creativo","Pausar o cambiar anuncio")))))</f>
        <v/>
      </c>
    </row>
    <row r="172" customFormat="false" ht="15" hidden="false" customHeight="false" outlineLevel="0" collapsed="false">
      <c r="A172" s="19"/>
      <c r="B172" s="18"/>
      <c r="C172" s="18"/>
      <c r="D172" s="18"/>
      <c r="E172" s="15"/>
      <c r="F172" s="21"/>
      <c r="G172" s="21"/>
      <c r="H172" s="21"/>
      <c r="I172" s="15"/>
      <c r="J172" s="22" t="str">
        <f aca="false">IF(OR(F172="",F172=0),"",G172/F172)</f>
        <v/>
      </c>
      <c r="K172" s="8" t="str">
        <f aca="false">IF(OR(G172="",G172=0),"",E172/G172)</f>
        <v/>
      </c>
      <c r="L172" s="8" t="str">
        <f aca="false">IF(OR(H172="",H172=0),"",E172/H172)</f>
        <v/>
      </c>
      <c r="M172" s="12" t="str">
        <f aca="false">IF(OR(E172="",E172=0),"",I172/E172)</f>
        <v/>
      </c>
      <c r="N172" s="8" t="str">
        <f aca="false">IF(E172="","",I172-E172)</f>
        <v/>
      </c>
      <c r="O172" s="14" t="str">
        <f aca="false">IF(E172="","",IF(E172&lt;5,"Seguir probando",IF(M172="","",IF(M172&gt;=3,"Escalar (subir presupuesto)",IF(M172&gt;=1.5,"Optimizar creativo","Pausar o cambiar anuncio")))))</f>
        <v/>
      </c>
    </row>
    <row r="173" customFormat="false" ht="15" hidden="false" customHeight="false" outlineLevel="0" collapsed="false">
      <c r="A173" s="19"/>
      <c r="B173" s="18"/>
      <c r="C173" s="18"/>
      <c r="D173" s="18"/>
      <c r="E173" s="15"/>
      <c r="F173" s="21"/>
      <c r="G173" s="21"/>
      <c r="H173" s="21"/>
      <c r="I173" s="15"/>
      <c r="J173" s="22" t="str">
        <f aca="false">IF(OR(F173="",F173=0),"",G173/F173)</f>
        <v/>
      </c>
      <c r="K173" s="8" t="str">
        <f aca="false">IF(OR(G173="",G173=0),"",E173/G173)</f>
        <v/>
      </c>
      <c r="L173" s="8" t="str">
        <f aca="false">IF(OR(H173="",H173=0),"",E173/H173)</f>
        <v/>
      </c>
      <c r="M173" s="12" t="str">
        <f aca="false">IF(OR(E173="",E173=0),"",I173/E173)</f>
        <v/>
      </c>
      <c r="N173" s="8" t="str">
        <f aca="false">IF(E173="","",I173-E173)</f>
        <v/>
      </c>
      <c r="O173" s="14" t="str">
        <f aca="false">IF(E173="","",IF(E173&lt;5,"Seguir probando",IF(M173="","",IF(M173&gt;=3,"Escalar (subir presupuesto)",IF(M173&gt;=1.5,"Optimizar creativo","Pausar o cambiar anuncio")))))</f>
        <v/>
      </c>
    </row>
    <row r="174" customFormat="false" ht="15" hidden="false" customHeight="false" outlineLevel="0" collapsed="false">
      <c r="A174" s="19"/>
      <c r="B174" s="18"/>
      <c r="C174" s="18"/>
      <c r="D174" s="18"/>
      <c r="E174" s="15"/>
      <c r="F174" s="21"/>
      <c r="G174" s="21"/>
      <c r="H174" s="21"/>
      <c r="I174" s="15"/>
      <c r="J174" s="22" t="str">
        <f aca="false">IF(OR(F174="",F174=0),"",G174/F174)</f>
        <v/>
      </c>
      <c r="K174" s="8" t="str">
        <f aca="false">IF(OR(G174="",G174=0),"",E174/G174)</f>
        <v/>
      </c>
      <c r="L174" s="8" t="str">
        <f aca="false">IF(OR(H174="",H174=0),"",E174/H174)</f>
        <v/>
      </c>
      <c r="M174" s="12" t="str">
        <f aca="false">IF(OR(E174="",E174=0),"",I174/E174)</f>
        <v/>
      </c>
      <c r="N174" s="8" t="str">
        <f aca="false">IF(E174="","",I174-E174)</f>
        <v/>
      </c>
      <c r="O174" s="14" t="str">
        <f aca="false">IF(E174="","",IF(E174&lt;5,"Seguir probando",IF(M174="","",IF(M174&gt;=3,"Escalar (subir presupuesto)",IF(M174&gt;=1.5,"Optimizar creativo","Pausar o cambiar anuncio")))))</f>
        <v/>
      </c>
    </row>
    <row r="175" customFormat="false" ht="15" hidden="false" customHeight="false" outlineLevel="0" collapsed="false">
      <c r="A175" s="19"/>
      <c r="B175" s="18"/>
      <c r="C175" s="18"/>
      <c r="D175" s="18"/>
      <c r="E175" s="15"/>
      <c r="F175" s="21"/>
      <c r="G175" s="21"/>
      <c r="H175" s="21"/>
      <c r="I175" s="15"/>
      <c r="J175" s="22" t="str">
        <f aca="false">IF(OR(F175="",F175=0),"",G175/F175)</f>
        <v/>
      </c>
      <c r="K175" s="8" t="str">
        <f aca="false">IF(OR(G175="",G175=0),"",E175/G175)</f>
        <v/>
      </c>
      <c r="L175" s="8" t="str">
        <f aca="false">IF(OR(H175="",H175=0),"",E175/H175)</f>
        <v/>
      </c>
      <c r="M175" s="12" t="str">
        <f aca="false">IF(OR(E175="",E175=0),"",I175/E175)</f>
        <v/>
      </c>
      <c r="N175" s="8" t="str">
        <f aca="false">IF(E175="","",I175-E175)</f>
        <v/>
      </c>
      <c r="O175" s="14" t="str">
        <f aca="false">IF(E175="","",IF(E175&lt;5,"Seguir probando",IF(M175="","",IF(M175&gt;=3,"Escalar (subir presupuesto)",IF(M175&gt;=1.5,"Optimizar creativo","Pausar o cambiar anuncio")))))</f>
        <v/>
      </c>
    </row>
    <row r="176" customFormat="false" ht="15" hidden="false" customHeight="false" outlineLevel="0" collapsed="false">
      <c r="A176" s="19"/>
      <c r="B176" s="18"/>
      <c r="C176" s="18"/>
      <c r="D176" s="18"/>
      <c r="E176" s="15"/>
      <c r="F176" s="21"/>
      <c r="G176" s="21"/>
      <c r="H176" s="21"/>
      <c r="I176" s="15"/>
      <c r="J176" s="22" t="str">
        <f aca="false">IF(OR(F176="",F176=0),"",G176/F176)</f>
        <v/>
      </c>
      <c r="K176" s="8" t="str">
        <f aca="false">IF(OR(G176="",G176=0),"",E176/G176)</f>
        <v/>
      </c>
      <c r="L176" s="8" t="str">
        <f aca="false">IF(OR(H176="",H176=0),"",E176/H176)</f>
        <v/>
      </c>
      <c r="M176" s="12" t="str">
        <f aca="false">IF(OR(E176="",E176=0),"",I176/E176)</f>
        <v/>
      </c>
      <c r="N176" s="8" t="str">
        <f aca="false">IF(E176="","",I176-E176)</f>
        <v/>
      </c>
      <c r="O176" s="14" t="str">
        <f aca="false">IF(E176="","",IF(E176&lt;5,"Seguir probando",IF(M176="","",IF(M176&gt;=3,"Escalar (subir presupuesto)",IF(M176&gt;=1.5,"Optimizar creativo","Pausar o cambiar anuncio")))))</f>
        <v/>
      </c>
    </row>
    <row r="177" customFormat="false" ht="15" hidden="false" customHeight="false" outlineLevel="0" collapsed="false">
      <c r="A177" s="19"/>
      <c r="B177" s="18"/>
      <c r="C177" s="18"/>
      <c r="D177" s="18"/>
      <c r="E177" s="15"/>
      <c r="F177" s="21"/>
      <c r="G177" s="21"/>
      <c r="H177" s="21"/>
      <c r="I177" s="15"/>
      <c r="J177" s="22" t="str">
        <f aca="false">IF(OR(F177="",F177=0),"",G177/F177)</f>
        <v/>
      </c>
      <c r="K177" s="8" t="str">
        <f aca="false">IF(OR(G177="",G177=0),"",E177/G177)</f>
        <v/>
      </c>
      <c r="L177" s="8" t="str">
        <f aca="false">IF(OR(H177="",H177=0),"",E177/H177)</f>
        <v/>
      </c>
      <c r="M177" s="12" t="str">
        <f aca="false">IF(OR(E177="",E177=0),"",I177/E177)</f>
        <v/>
      </c>
      <c r="N177" s="8" t="str">
        <f aca="false">IF(E177="","",I177-E177)</f>
        <v/>
      </c>
      <c r="O177" s="14" t="str">
        <f aca="false">IF(E177="","",IF(E177&lt;5,"Seguir probando",IF(M177="","",IF(M177&gt;=3,"Escalar (subir presupuesto)",IF(M177&gt;=1.5,"Optimizar creativo","Pausar o cambiar anuncio")))))</f>
        <v/>
      </c>
    </row>
    <row r="178" customFormat="false" ht="15" hidden="false" customHeight="false" outlineLevel="0" collapsed="false">
      <c r="A178" s="19"/>
      <c r="B178" s="18"/>
      <c r="C178" s="18"/>
      <c r="D178" s="18"/>
      <c r="E178" s="15"/>
      <c r="F178" s="21"/>
      <c r="G178" s="21"/>
      <c r="H178" s="21"/>
      <c r="I178" s="15"/>
      <c r="J178" s="22" t="str">
        <f aca="false">IF(OR(F178="",F178=0),"",G178/F178)</f>
        <v/>
      </c>
      <c r="K178" s="8" t="str">
        <f aca="false">IF(OR(G178="",G178=0),"",E178/G178)</f>
        <v/>
      </c>
      <c r="L178" s="8" t="str">
        <f aca="false">IF(OR(H178="",H178=0),"",E178/H178)</f>
        <v/>
      </c>
      <c r="M178" s="12" t="str">
        <f aca="false">IF(OR(E178="",E178=0),"",I178/E178)</f>
        <v/>
      </c>
      <c r="N178" s="8" t="str">
        <f aca="false">IF(E178="","",I178-E178)</f>
        <v/>
      </c>
      <c r="O178" s="14" t="str">
        <f aca="false">IF(E178="","",IF(E178&lt;5,"Seguir probando",IF(M178="","",IF(M178&gt;=3,"Escalar (subir presupuesto)",IF(M178&gt;=1.5,"Optimizar creativo","Pausar o cambiar anuncio")))))</f>
        <v/>
      </c>
    </row>
    <row r="179" customFormat="false" ht="15" hidden="false" customHeight="false" outlineLevel="0" collapsed="false">
      <c r="A179" s="19"/>
      <c r="B179" s="18"/>
      <c r="C179" s="18"/>
      <c r="D179" s="18"/>
      <c r="E179" s="15"/>
      <c r="F179" s="21"/>
      <c r="G179" s="21"/>
      <c r="H179" s="21"/>
      <c r="I179" s="15"/>
      <c r="J179" s="22" t="str">
        <f aca="false">IF(OR(F179="",F179=0),"",G179/F179)</f>
        <v/>
      </c>
      <c r="K179" s="8" t="str">
        <f aca="false">IF(OR(G179="",G179=0),"",E179/G179)</f>
        <v/>
      </c>
      <c r="L179" s="8" t="str">
        <f aca="false">IF(OR(H179="",H179=0),"",E179/H179)</f>
        <v/>
      </c>
      <c r="M179" s="12" t="str">
        <f aca="false">IF(OR(E179="",E179=0),"",I179/E179)</f>
        <v/>
      </c>
      <c r="N179" s="8" t="str">
        <f aca="false">IF(E179="","",I179-E179)</f>
        <v/>
      </c>
      <c r="O179" s="14" t="str">
        <f aca="false">IF(E179="","",IF(E179&lt;5,"Seguir probando",IF(M179="","",IF(M179&gt;=3,"Escalar (subir presupuesto)",IF(M179&gt;=1.5,"Optimizar creativo","Pausar o cambiar anuncio")))))</f>
        <v/>
      </c>
    </row>
    <row r="180" customFormat="false" ht="15" hidden="false" customHeight="false" outlineLevel="0" collapsed="false">
      <c r="A180" s="19"/>
      <c r="B180" s="18"/>
      <c r="C180" s="18"/>
      <c r="D180" s="18"/>
      <c r="E180" s="15"/>
      <c r="F180" s="21"/>
      <c r="G180" s="21"/>
      <c r="H180" s="21"/>
      <c r="I180" s="15"/>
      <c r="J180" s="22" t="str">
        <f aca="false">IF(OR(F180="",F180=0),"",G180/F180)</f>
        <v/>
      </c>
      <c r="K180" s="8" t="str">
        <f aca="false">IF(OR(G180="",G180=0),"",E180/G180)</f>
        <v/>
      </c>
      <c r="L180" s="8" t="str">
        <f aca="false">IF(OR(H180="",H180=0),"",E180/H180)</f>
        <v/>
      </c>
      <c r="M180" s="12" t="str">
        <f aca="false">IF(OR(E180="",E180=0),"",I180/E180)</f>
        <v/>
      </c>
      <c r="N180" s="8" t="str">
        <f aca="false">IF(E180="","",I180-E180)</f>
        <v/>
      </c>
      <c r="O180" s="14" t="str">
        <f aca="false">IF(E180="","",IF(E180&lt;5,"Seguir probando",IF(M180="","",IF(M180&gt;=3,"Escalar (subir presupuesto)",IF(M180&gt;=1.5,"Optimizar creativo","Pausar o cambiar anuncio")))))</f>
        <v/>
      </c>
    </row>
    <row r="181" customFormat="false" ht="15" hidden="false" customHeight="false" outlineLevel="0" collapsed="false">
      <c r="A181" s="19"/>
      <c r="B181" s="18"/>
      <c r="C181" s="18"/>
      <c r="D181" s="18"/>
      <c r="E181" s="15"/>
      <c r="F181" s="21"/>
      <c r="G181" s="21"/>
      <c r="H181" s="21"/>
      <c r="I181" s="15"/>
      <c r="J181" s="22" t="str">
        <f aca="false">IF(OR(F181="",F181=0),"",G181/F181)</f>
        <v/>
      </c>
      <c r="K181" s="8" t="str">
        <f aca="false">IF(OR(G181="",G181=0),"",E181/G181)</f>
        <v/>
      </c>
      <c r="L181" s="8" t="str">
        <f aca="false">IF(OR(H181="",H181=0),"",E181/H181)</f>
        <v/>
      </c>
      <c r="M181" s="12" t="str">
        <f aca="false">IF(OR(E181="",E181=0),"",I181/E181)</f>
        <v/>
      </c>
      <c r="N181" s="8" t="str">
        <f aca="false">IF(E181="","",I181-E181)</f>
        <v/>
      </c>
      <c r="O181" s="14" t="str">
        <f aca="false">IF(E181="","",IF(E181&lt;5,"Seguir probando",IF(M181="","",IF(M181&gt;=3,"Escalar (subir presupuesto)",IF(M181&gt;=1.5,"Optimizar creativo","Pausar o cambiar anuncio")))))</f>
        <v/>
      </c>
    </row>
    <row r="182" customFormat="false" ht="15" hidden="false" customHeight="false" outlineLevel="0" collapsed="false">
      <c r="A182" s="19"/>
      <c r="B182" s="18"/>
      <c r="C182" s="18"/>
      <c r="D182" s="18"/>
      <c r="E182" s="15"/>
      <c r="F182" s="21"/>
      <c r="G182" s="21"/>
      <c r="H182" s="21"/>
      <c r="I182" s="15"/>
      <c r="J182" s="22" t="str">
        <f aca="false">IF(OR(F182="",F182=0),"",G182/F182)</f>
        <v/>
      </c>
      <c r="K182" s="8" t="str">
        <f aca="false">IF(OR(G182="",G182=0),"",E182/G182)</f>
        <v/>
      </c>
      <c r="L182" s="8" t="str">
        <f aca="false">IF(OR(H182="",H182=0),"",E182/H182)</f>
        <v/>
      </c>
      <c r="M182" s="12" t="str">
        <f aca="false">IF(OR(E182="",E182=0),"",I182/E182)</f>
        <v/>
      </c>
      <c r="N182" s="8" t="str">
        <f aca="false">IF(E182="","",I182-E182)</f>
        <v/>
      </c>
      <c r="O182" s="14" t="str">
        <f aca="false">IF(E182="","",IF(E182&lt;5,"Seguir probando",IF(M182="","",IF(M182&gt;=3,"Escalar (subir presupuesto)",IF(M182&gt;=1.5,"Optimizar creativo","Pausar o cambiar anuncio")))))</f>
        <v/>
      </c>
    </row>
    <row r="183" customFormat="false" ht="15" hidden="false" customHeight="false" outlineLevel="0" collapsed="false">
      <c r="A183" s="19"/>
      <c r="B183" s="18"/>
      <c r="C183" s="18"/>
      <c r="D183" s="18"/>
      <c r="E183" s="15"/>
      <c r="F183" s="21"/>
      <c r="G183" s="21"/>
      <c r="H183" s="21"/>
      <c r="I183" s="15"/>
      <c r="J183" s="22" t="str">
        <f aca="false">IF(OR(F183="",F183=0),"",G183/F183)</f>
        <v/>
      </c>
      <c r="K183" s="8" t="str">
        <f aca="false">IF(OR(G183="",G183=0),"",E183/G183)</f>
        <v/>
      </c>
      <c r="L183" s="8" t="str">
        <f aca="false">IF(OR(H183="",H183=0),"",E183/H183)</f>
        <v/>
      </c>
      <c r="M183" s="12" t="str">
        <f aca="false">IF(OR(E183="",E183=0),"",I183/E183)</f>
        <v/>
      </c>
      <c r="N183" s="8" t="str">
        <f aca="false">IF(E183="","",I183-E183)</f>
        <v/>
      </c>
      <c r="O183" s="14" t="str">
        <f aca="false">IF(E183="","",IF(E183&lt;5,"Seguir probando",IF(M183="","",IF(M183&gt;=3,"Escalar (subir presupuesto)",IF(M183&gt;=1.5,"Optimizar creativo","Pausar o cambiar anuncio")))))</f>
        <v/>
      </c>
    </row>
    <row r="184" customFormat="false" ht="15" hidden="false" customHeight="false" outlineLevel="0" collapsed="false">
      <c r="A184" s="19"/>
      <c r="B184" s="18"/>
      <c r="C184" s="18"/>
      <c r="D184" s="18"/>
      <c r="E184" s="15"/>
      <c r="F184" s="21"/>
      <c r="G184" s="21"/>
      <c r="H184" s="21"/>
      <c r="I184" s="15"/>
      <c r="J184" s="22" t="str">
        <f aca="false">IF(OR(F184="",F184=0),"",G184/F184)</f>
        <v/>
      </c>
      <c r="K184" s="8" t="str">
        <f aca="false">IF(OR(G184="",G184=0),"",E184/G184)</f>
        <v/>
      </c>
      <c r="L184" s="8" t="str">
        <f aca="false">IF(OR(H184="",H184=0),"",E184/H184)</f>
        <v/>
      </c>
      <c r="M184" s="12" t="str">
        <f aca="false">IF(OR(E184="",E184=0),"",I184/E184)</f>
        <v/>
      </c>
      <c r="N184" s="8" t="str">
        <f aca="false">IF(E184="","",I184-E184)</f>
        <v/>
      </c>
      <c r="O184" s="14" t="str">
        <f aca="false">IF(E184="","",IF(E184&lt;5,"Seguir probando",IF(M184="","",IF(M184&gt;=3,"Escalar (subir presupuesto)",IF(M184&gt;=1.5,"Optimizar creativo","Pausar o cambiar anuncio")))))</f>
        <v/>
      </c>
    </row>
    <row r="185" customFormat="false" ht="15" hidden="false" customHeight="false" outlineLevel="0" collapsed="false">
      <c r="A185" s="19"/>
      <c r="B185" s="18"/>
      <c r="C185" s="18"/>
      <c r="D185" s="18"/>
      <c r="E185" s="15"/>
      <c r="F185" s="21"/>
      <c r="G185" s="21"/>
      <c r="H185" s="21"/>
      <c r="I185" s="15"/>
      <c r="J185" s="22" t="str">
        <f aca="false">IF(OR(F185="",F185=0),"",G185/F185)</f>
        <v/>
      </c>
      <c r="K185" s="8" t="str">
        <f aca="false">IF(OR(G185="",G185=0),"",E185/G185)</f>
        <v/>
      </c>
      <c r="L185" s="8" t="str">
        <f aca="false">IF(OR(H185="",H185=0),"",E185/H185)</f>
        <v/>
      </c>
      <c r="M185" s="12" t="str">
        <f aca="false">IF(OR(E185="",E185=0),"",I185/E185)</f>
        <v/>
      </c>
      <c r="N185" s="8" t="str">
        <f aca="false">IF(E185="","",I185-E185)</f>
        <v/>
      </c>
      <c r="O185" s="14" t="str">
        <f aca="false">IF(E185="","",IF(E185&lt;5,"Seguir probando",IF(M185="","",IF(M185&gt;=3,"Escalar (subir presupuesto)",IF(M185&gt;=1.5,"Optimizar creativo","Pausar o cambiar anuncio")))))</f>
        <v/>
      </c>
    </row>
    <row r="186" customFormat="false" ht="15" hidden="false" customHeight="false" outlineLevel="0" collapsed="false">
      <c r="A186" s="19"/>
      <c r="B186" s="18"/>
      <c r="C186" s="18"/>
      <c r="D186" s="18"/>
      <c r="E186" s="15"/>
      <c r="F186" s="21"/>
      <c r="G186" s="21"/>
      <c r="H186" s="21"/>
      <c r="I186" s="15"/>
      <c r="J186" s="22" t="str">
        <f aca="false">IF(OR(F186="",F186=0),"",G186/F186)</f>
        <v/>
      </c>
      <c r="K186" s="8" t="str">
        <f aca="false">IF(OR(G186="",G186=0),"",E186/G186)</f>
        <v/>
      </c>
      <c r="L186" s="8" t="str">
        <f aca="false">IF(OR(H186="",H186=0),"",E186/H186)</f>
        <v/>
      </c>
      <c r="M186" s="12" t="str">
        <f aca="false">IF(OR(E186="",E186=0),"",I186/E186)</f>
        <v/>
      </c>
      <c r="N186" s="8" t="str">
        <f aca="false">IF(E186="","",I186-E186)</f>
        <v/>
      </c>
      <c r="O186" s="14" t="str">
        <f aca="false">IF(E186="","",IF(E186&lt;5,"Seguir probando",IF(M186="","",IF(M186&gt;=3,"Escalar (subir presupuesto)",IF(M186&gt;=1.5,"Optimizar creativo","Pausar o cambiar anuncio")))))</f>
        <v/>
      </c>
    </row>
    <row r="187" customFormat="false" ht="15" hidden="false" customHeight="false" outlineLevel="0" collapsed="false">
      <c r="A187" s="19"/>
      <c r="B187" s="18"/>
      <c r="C187" s="18"/>
      <c r="D187" s="18"/>
      <c r="E187" s="15"/>
      <c r="F187" s="21"/>
      <c r="G187" s="21"/>
      <c r="H187" s="21"/>
      <c r="I187" s="15"/>
      <c r="J187" s="22" t="str">
        <f aca="false">IF(OR(F187="",F187=0),"",G187/F187)</f>
        <v/>
      </c>
      <c r="K187" s="8" t="str">
        <f aca="false">IF(OR(G187="",G187=0),"",E187/G187)</f>
        <v/>
      </c>
      <c r="L187" s="8" t="str">
        <f aca="false">IF(OR(H187="",H187=0),"",E187/H187)</f>
        <v/>
      </c>
      <c r="M187" s="12" t="str">
        <f aca="false">IF(OR(E187="",E187=0),"",I187/E187)</f>
        <v/>
      </c>
      <c r="N187" s="8" t="str">
        <f aca="false">IF(E187="","",I187-E187)</f>
        <v/>
      </c>
      <c r="O187" s="14" t="str">
        <f aca="false">IF(E187="","",IF(E187&lt;5,"Seguir probando",IF(M187="","",IF(M187&gt;=3,"Escalar (subir presupuesto)",IF(M187&gt;=1.5,"Optimizar creativo","Pausar o cambiar anuncio")))))</f>
        <v/>
      </c>
    </row>
    <row r="188" customFormat="false" ht="15" hidden="false" customHeight="false" outlineLevel="0" collapsed="false">
      <c r="A188" s="19"/>
      <c r="B188" s="18"/>
      <c r="C188" s="18"/>
      <c r="D188" s="18"/>
      <c r="E188" s="15"/>
      <c r="F188" s="21"/>
      <c r="G188" s="21"/>
      <c r="H188" s="21"/>
      <c r="I188" s="15"/>
      <c r="J188" s="22" t="str">
        <f aca="false">IF(OR(F188="",F188=0),"",G188/F188)</f>
        <v/>
      </c>
      <c r="K188" s="8" t="str">
        <f aca="false">IF(OR(G188="",G188=0),"",E188/G188)</f>
        <v/>
      </c>
      <c r="L188" s="8" t="str">
        <f aca="false">IF(OR(H188="",H188=0),"",E188/H188)</f>
        <v/>
      </c>
      <c r="M188" s="12" t="str">
        <f aca="false">IF(OR(E188="",E188=0),"",I188/E188)</f>
        <v/>
      </c>
      <c r="N188" s="8" t="str">
        <f aca="false">IF(E188="","",I188-E188)</f>
        <v/>
      </c>
      <c r="O188" s="14" t="str">
        <f aca="false">IF(E188="","",IF(E188&lt;5,"Seguir probando",IF(M188="","",IF(M188&gt;=3,"Escalar (subir presupuesto)",IF(M188&gt;=1.5,"Optimizar creativo","Pausar o cambiar anuncio")))))</f>
        <v/>
      </c>
    </row>
    <row r="189" customFormat="false" ht="15" hidden="false" customHeight="false" outlineLevel="0" collapsed="false">
      <c r="A189" s="19"/>
      <c r="B189" s="18"/>
      <c r="C189" s="18"/>
      <c r="D189" s="18"/>
      <c r="E189" s="15"/>
      <c r="F189" s="21"/>
      <c r="G189" s="21"/>
      <c r="H189" s="21"/>
      <c r="I189" s="15"/>
      <c r="J189" s="22" t="str">
        <f aca="false">IF(OR(F189="",F189=0),"",G189/F189)</f>
        <v/>
      </c>
      <c r="K189" s="8" t="str">
        <f aca="false">IF(OR(G189="",G189=0),"",E189/G189)</f>
        <v/>
      </c>
      <c r="L189" s="8" t="str">
        <f aca="false">IF(OR(H189="",H189=0),"",E189/H189)</f>
        <v/>
      </c>
      <c r="M189" s="12" t="str">
        <f aca="false">IF(OR(E189="",E189=0),"",I189/E189)</f>
        <v/>
      </c>
      <c r="N189" s="8" t="str">
        <f aca="false">IF(E189="","",I189-E189)</f>
        <v/>
      </c>
      <c r="O189" s="14" t="str">
        <f aca="false">IF(E189="","",IF(E189&lt;5,"Seguir probando",IF(M189="","",IF(M189&gt;=3,"Escalar (subir presupuesto)",IF(M189&gt;=1.5,"Optimizar creativo","Pausar o cambiar anuncio")))))</f>
        <v/>
      </c>
    </row>
    <row r="190" customFormat="false" ht="15" hidden="false" customHeight="false" outlineLevel="0" collapsed="false">
      <c r="A190" s="19"/>
      <c r="B190" s="18"/>
      <c r="C190" s="18"/>
      <c r="D190" s="18"/>
      <c r="E190" s="15"/>
      <c r="F190" s="21"/>
      <c r="G190" s="21"/>
      <c r="H190" s="21"/>
      <c r="I190" s="15"/>
      <c r="J190" s="22" t="str">
        <f aca="false">IF(OR(F190="",F190=0),"",G190/F190)</f>
        <v/>
      </c>
      <c r="K190" s="8" t="str">
        <f aca="false">IF(OR(G190="",G190=0),"",E190/G190)</f>
        <v/>
      </c>
      <c r="L190" s="8" t="str">
        <f aca="false">IF(OR(H190="",H190=0),"",E190/H190)</f>
        <v/>
      </c>
      <c r="M190" s="12" t="str">
        <f aca="false">IF(OR(E190="",E190=0),"",I190/E190)</f>
        <v/>
      </c>
      <c r="N190" s="8" t="str">
        <f aca="false">IF(E190="","",I190-E190)</f>
        <v/>
      </c>
      <c r="O190" s="14" t="str">
        <f aca="false">IF(E190="","",IF(E190&lt;5,"Seguir probando",IF(M190="","",IF(M190&gt;=3,"Escalar (subir presupuesto)",IF(M190&gt;=1.5,"Optimizar creativo","Pausar o cambiar anuncio")))))</f>
        <v/>
      </c>
    </row>
    <row r="191" customFormat="false" ht="15" hidden="false" customHeight="false" outlineLevel="0" collapsed="false">
      <c r="A191" s="19"/>
      <c r="B191" s="18"/>
      <c r="C191" s="18"/>
      <c r="D191" s="18"/>
      <c r="E191" s="15"/>
      <c r="F191" s="21"/>
      <c r="G191" s="21"/>
      <c r="H191" s="21"/>
      <c r="I191" s="15"/>
      <c r="J191" s="22" t="str">
        <f aca="false">IF(OR(F191="",F191=0),"",G191/F191)</f>
        <v/>
      </c>
      <c r="K191" s="8" t="str">
        <f aca="false">IF(OR(G191="",G191=0),"",E191/G191)</f>
        <v/>
      </c>
      <c r="L191" s="8" t="str">
        <f aca="false">IF(OR(H191="",H191=0),"",E191/H191)</f>
        <v/>
      </c>
      <c r="M191" s="12" t="str">
        <f aca="false">IF(OR(E191="",E191=0),"",I191/E191)</f>
        <v/>
      </c>
      <c r="N191" s="8" t="str">
        <f aca="false">IF(E191="","",I191-E191)</f>
        <v/>
      </c>
      <c r="O191" s="14" t="str">
        <f aca="false">IF(E191="","",IF(E191&lt;5,"Seguir probando",IF(M191="","",IF(M191&gt;=3,"Escalar (subir presupuesto)",IF(M191&gt;=1.5,"Optimizar creativo","Pausar o cambiar anuncio")))))</f>
        <v/>
      </c>
    </row>
    <row r="192" customFormat="false" ht="15" hidden="false" customHeight="false" outlineLevel="0" collapsed="false">
      <c r="A192" s="19"/>
      <c r="B192" s="18"/>
      <c r="C192" s="18"/>
      <c r="D192" s="18"/>
      <c r="E192" s="15"/>
      <c r="F192" s="21"/>
      <c r="G192" s="21"/>
      <c r="H192" s="21"/>
      <c r="I192" s="15"/>
      <c r="J192" s="22" t="str">
        <f aca="false">IF(OR(F192="",F192=0),"",G192/F192)</f>
        <v/>
      </c>
      <c r="K192" s="8" t="str">
        <f aca="false">IF(OR(G192="",G192=0),"",E192/G192)</f>
        <v/>
      </c>
      <c r="L192" s="8" t="str">
        <f aca="false">IF(OR(H192="",H192=0),"",E192/H192)</f>
        <v/>
      </c>
      <c r="M192" s="12" t="str">
        <f aca="false">IF(OR(E192="",E192=0),"",I192/E192)</f>
        <v/>
      </c>
      <c r="N192" s="8" t="str">
        <f aca="false">IF(E192="","",I192-E192)</f>
        <v/>
      </c>
      <c r="O192" s="14" t="str">
        <f aca="false">IF(E192="","",IF(E192&lt;5,"Seguir probando",IF(M192="","",IF(M192&gt;=3,"Escalar (subir presupuesto)",IF(M192&gt;=1.5,"Optimizar creativo","Pausar o cambiar anuncio")))))</f>
        <v/>
      </c>
    </row>
    <row r="193" customFormat="false" ht="15" hidden="false" customHeight="false" outlineLevel="0" collapsed="false">
      <c r="A193" s="19"/>
      <c r="B193" s="18"/>
      <c r="C193" s="18"/>
      <c r="D193" s="18"/>
      <c r="E193" s="15"/>
      <c r="F193" s="21"/>
      <c r="G193" s="21"/>
      <c r="H193" s="21"/>
      <c r="I193" s="15"/>
      <c r="J193" s="22" t="str">
        <f aca="false">IF(OR(F193="",F193=0),"",G193/F193)</f>
        <v/>
      </c>
      <c r="K193" s="8" t="str">
        <f aca="false">IF(OR(G193="",G193=0),"",E193/G193)</f>
        <v/>
      </c>
      <c r="L193" s="8" t="str">
        <f aca="false">IF(OR(H193="",H193=0),"",E193/H193)</f>
        <v/>
      </c>
      <c r="M193" s="12" t="str">
        <f aca="false">IF(OR(E193="",E193=0),"",I193/E193)</f>
        <v/>
      </c>
      <c r="N193" s="8" t="str">
        <f aca="false">IF(E193="","",I193-E193)</f>
        <v/>
      </c>
      <c r="O193" s="14" t="str">
        <f aca="false">IF(E193="","",IF(E193&lt;5,"Seguir probando",IF(M193="","",IF(M193&gt;=3,"Escalar (subir presupuesto)",IF(M193&gt;=1.5,"Optimizar creativo","Pausar o cambiar anuncio")))))</f>
        <v/>
      </c>
    </row>
    <row r="194" customFormat="false" ht="15" hidden="false" customHeight="false" outlineLevel="0" collapsed="false">
      <c r="A194" s="19"/>
      <c r="B194" s="18"/>
      <c r="C194" s="18"/>
      <c r="D194" s="18"/>
      <c r="E194" s="15"/>
      <c r="F194" s="21"/>
      <c r="G194" s="21"/>
      <c r="H194" s="21"/>
      <c r="I194" s="15"/>
      <c r="J194" s="22" t="str">
        <f aca="false">IF(OR(F194="",F194=0),"",G194/F194)</f>
        <v/>
      </c>
      <c r="K194" s="8" t="str">
        <f aca="false">IF(OR(G194="",G194=0),"",E194/G194)</f>
        <v/>
      </c>
      <c r="L194" s="8" t="str">
        <f aca="false">IF(OR(H194="",H194=0),"",E194/H194)</f>
        <v/>
      </c>
      <c r="M194" s="12" t="str">
        <f aca="false">IF(OR(E194="",E194=0),"",I194/E194)</f>
        <v/>
      </c>
      <c r="N194" s="8" t="str">
        <f aca="false">IF(E194="","",I194-E194)</f>
        <v/>
      </c>
      <c r="O194" s="14" t="str">
        <f aca="false">IF(E194="","",IF(E194&lt;5,"Seguir probando",IF(M194="","",IF(M194&gt;=3,"Escalar (subir presupuesto)",IF(M194&gt;=1.5,"Optimizar creativo","Pausar o cambiar anuncio")))))</f>
        <v/>
      </c>
    </row>
    <row r="195" customFormat="false" ht="15" hidden="false" customHeight="false" outlineLevel="0" collapsed="false">
      <c r="A195" s="19"/>
      <c r="B195" s="18"/>
      <c r="C195" s="18"/>
      <c r="D195" s="18"/>
      <c r="E195" s="15"/>
      <c r="F195" s="21"/>
      <c r="G195" s="21"/>
      <c r="H195" s="21"/>
      <c r="I195" s="15"/>
      <c r="J195" s="22" t="str">
        <f aca="false">IF(OR(F195="",F195=0),"",G195/F195)</f>
        <v/>
      </c>
      <c r="K195" s="8" t="str">
        <f aca="false">IF(OR(G195="",G195=0),"",E195/G195)</f>
        <v/>
      </c>
      <c r="L195" s="8" t="str">
        <f aca="false">IF(OR(H195="",H195=0),"",E195/H195)</f>
        <v/>
      </c>
      <c r="M195" s="12" t="str">
        <f aca="false">IF(OR(E195="",E195=0),"",I195/E195)</f>
        <v/>
      </c>
      <c r="N195" s="8" t="str">
        <f aca="false">IF(E195="","",I195-E195)</f>
        <v/>
      </c>
      <c r="O195" s="14" t="str">
        <f aca="false">IF(E195="","",IF(E195&lt;5,"Seguir probando",IF(M195="","",IF(M195&gt;=3,"Escalar (subir presupuesto)",IF(M195&gt;=1.5,"Optimizar creativo","Pausar o cambiar anuncio")))))</f>
        <v/>
      </c>
    </row>
    <row r="196" customFormat="false" ht="15" hidden="false" customHeight="false" outlineLevel="0" collapsed="false">
      <c r="A196" s="19"/>
      <c r="B196" s="18"/>
      <c r="C196" s="18"/>
      <c r="D196" s="18"/>
      <c r="E196" s="15"/>
      <c r="F196" s="21"/>
      <c r="G196" s="21"/>
      <c r="H196" s="21"/>
      <c r="I196" s="15"/>
      <c r="J196" s="22" t="str">
        <f aca="false">IF(OR(F196="",F196=0),"",G196/F196)</f>
        <v/>
      </c>
      <c r="K196" s="8" t="str">
        <f aca="false">IF(OR(G196="",G196=0),"",E196/G196)</f>
        <v/>
      </c>
      <c r="L196" s="8" t="str">
        <f aca="false">IF(OR(H196="",H196=0),"",E196/H196)</f>
        <v/>
      </c>
      <c r="M196" s="12" t="str">
        <f aca="false">IF(OR(E196="",E196=0),"",I196/E196)</f>
        <v/>
      </c>
      <c r="N196" s="8" t="str">
        <f aca="false">IF(E196="","",I196-E196)</f>
        <v/>
      </c>
      <c r="O196" s="14" t="str">
        <f aca="false">IF(E196="","",IF(E196&lt;5,"Seguir probando",IF(M196="","",IF(M196&gt;=3,"Escalar (subir presupuesto)",IF(M196&gt;=1.5,"Optimizar creativo","Pausar o cambiar anuncio")))))</f>
        <v/>
      </c>
    </row>
    <row r="197" customFormat="false" ht="15" hidden="false" customHeight="false" outlineLevel="0" collapsed="false">
      <c r="A197" s="19"/>
      <c r="B197" s="18"/>
      <c r="C197" s="18"/>
      <c r="D197" s="18"/>
      <c r="E197" s="15"/>
      <c r="F197" s="21"/>
      <c r="G197" s="21"/>
      <c r="H197" s="21"/>
      <c r="I197" s="15"/>
      <c r="J197" s="22" t="str">
        <f aca="false">IF(OR(F197="",F197=0),"",G197/F197)</f>
        <v/>
      </c>
      <c r="K197" s="8" t="str">
        <f aca="false">IF(OR(G197="",G197=0),"",E197/G197)</f>
        <v/>
      </c>
      <c r="L197" s="8" t="str">
        <f aca="false">IF(OR(H197="",H197=0),"",E197/H197)</f>
        <v/>
      </c>
      <c r="M197" s="12" t="str">
        <f aca="false">IF(OR(E197="",E197=0),"",I197/E197)</f>
        <v/>
      </c>
      <c r="N197" s="8" t="str">
        <f aca="false">IF(E197="","",I197-E197)</f>
        <v/>
      </c>
      <c r="O197" s="14" t="str">
        <f aca="false">IF(E197="","",IF(E197&lt;5,"Seguir probando",IF(M197="","",IF(M197&gt;=3,"Escalar (subir presupuesto)",IF(M197&gt;=1.5,"Optimizar creativo","Pausar o cambiar anuncio")))))</f>
        <v/>
      </c>
    </row>
    <row r="198" customFormat="false" ht="15" hidden="false" customHeight="false" outlineLevel="0" collapsed="false">
      <c r="A198" s="19"/>
      <c r="B198" s="18"/>
      <c r="C198" s="18"/>
      <c r="D198" s="18"/>
      <c r="E198" s="15"/>
      <c r="F198" s="21"/>
      <c r="G198" s="21"/>
      <c r="H198" s="21"/>
      <c r="I198" s="15"/>
      <c r="J198" s="22" t="str">
        <f aca="false">IF(OR(F198="",F198=0),"",G198/F198)</f>
        <v/>
      </c>
      <c r="K198" s="8" t="str">
        <f aca="false">IF(OR(G198="",G198=0),"",E198/G198)</f>
        <v/>
      </c>
      <c r="L198" s="8" t="str">
        <f aca="false">IF(OR(H198="",H198=0),"",E198/H198)</f>
        <v/>
      </c>
      <c r="M198" s="12" t="str">
        <f aca="false">IF(OR(E198="",E198=0),"",I198/E198)</f>
        <v/>
      </c>
      <c r="N198" s="8" t="str">
        <f aca="false">IF(E198="","",I198-E198)</f>
        <v/>
      </c>
      <c r="O198" s="14" t="str">
        <f aca="false">IF(E198="","",IF(E198&lt;5,"Seguir probando",IF(M198="","",IF(M198&gt;=3,"Escalar (subir presupuesto)",IF(M198&gt;=1.5,"Optimizar creativo","Pausar o cambiar anuncio")))))</f>
        <v/>
      </c>
    </row>
    <row r="199" customFormat="false" ht="15" hidden="false" customHeight="false" outlineLevel="0" collapsed="false">
      <c r="A199" s="19"/>
      <c r="B199" s="18"/>
      <c r="C199" s="18"/>
      <c r="D199" s="18"/>
      <c r="E199" s="15"/>
      <c r="F199" s="21"/>
      <c r="G199" s="21"/>
      <c r="H199" s="21"/>
      <c r="I199" s="15"/>
      <c r="J199" s="22" t="str">
        <f aca="false">IF(OR(F199="",F199=0),"",G199/F199)</f>
        <v/>
      </c>
      <c r="K199" s="8" t="str">
        <f aca="false">IF(OR(G199="",G199=0),"",E199/G199)</f>
        <v/>
      </c>
      <c r="L199" s="8" t="str">
        <f aca="false">IF(OR(H199="",H199=0),"",E199/H199)</f>
        <v/>
      </c>
      <c r="M199" s="12" t="str">
        <f aca="false">IF(OR(E199="",E199=0),"",I199/E199)</f>
        <v/>
      </c>
      <c r="N199" s="8" t="str">
        <f aca="false">IF(E199="","",I199-E199)</f>
        <v/>
      </c>
      <c r="O199" s="14" t="str">
        <f aca="false">IF(E199="","",IF(E199&lt;5,"Seguir probando",IF(M199="","",IF(M199&gt;=3,"Escalar (subir presupuesto)",IF(M199&gt;=1.5,"Optimizar creativo","Pausar o cambiar anuncio")))))</f>
        <v/>
      </c>
    </row>
    <row r="200" customFormat="false" ht="15" hidden="false" customHeight="false" outlineLevel="0" collapsed="false">
      <c r="A200" s="19"/>
      <c r="B200" s="18"/>
      <c r="C200" s="18"/>
      <c r="D200" s="18"/>
      <c r="E200" s="15"/>
      <c r="F200" s="21"/>
      <c r="G200" s="21"/>
      <c r="H200" s="21"/>
      <c r="I200" s="15"/>
      <c r="J200" s="22" t="str">
        <f aca="false">IF(OR(F200="",F200=0),"",G200/F200)</f>
        <v/>
      </c>
      <c r="K200" s="8" t="str">
        <f aca="false">IF(OR(G200="",G200=0),"",E200/G200)</f>
        <v/>
      </c>
      <c r="L200" s="8" t="str">
        <f aca="false">IF(OR(H200="",H200=0),"",E200/H200)</f>
        <v/>
      </c>
      <c r="M200" s="12" t="str">
        <f aca="false">IF(OR(E200="",E200=0),"",I200/E200)</f>
        <v/>
      </c>
      <c r="N200" s="8" t="str">
        <f aca="false">IF(E200="","",I200-E200)</f>
        <v/>
      </c>
      <c r="O200" s="14" t="str">
        <f aca="false">IF(E200="","",IF(E200&lt;5,"Seguir probando",IF(M200="","",IF(M200&gt;=3,"Escalar (subir presupuesto)",IF(M200&gt;=1.5,"Optimizar creativo","Pausar o cambiar anuncio")))))</f>
        <v/>
      </c>
    </row>
    <row r="201" customFormat="false" ht="15" hidden="false" customHeight="false" outlineLevel="0" collapsed="false">
      <c r="A201" s="19"/>
      <c r="B201" s="18"/>
      <c r="C201" s="18"/>
      <c r="D201" s="18"/>
      <c r="E201" s="15"/>
      <c r="F201" s="21"/>
      <c r="G201" s="21"/>
      <c r="H201" s="21"/>
      <c r="I201" s="15"/>
      <c r="J201" s="22" t="str">
        <f aca="false">IF(OR(F201="",F201=0),"",G201/F201)</f>
        <v/>
      </c>
      <c r="K201" s="8" t="str">
        <f aca="false">IF(OR(G201="",G201=0),"",E201/G201)</f>
        <v/>
      </c>
      <c r="L201" s="8" t="str">
        <f aca="false">IF(OR(H201="",H201=0),"",E201/H201)</f>
        <v/>
      </c>
      <c r="M201" s="12" t="str">
        <f aca="false">IF(OR(E201="",E201=0),"",I201/E201)</f>
        <v/>
      </c>
      <c r="N201" s="8" t="str">
        <f aca="false">IF(E201="","",I201-E201)</f>
        <v/>
      </c>
      <c r="O201" s="14" t="str">
        <f aca="false">IF(E201="","",IF(E201&lt;5,"Seguir probando",IF(M201="","",IF(M201&gt;=3,"Escalar (subir presupuesto)",IF(M201&gt;=1.5,"Optimizar creativo","Pausar o cambiar anuncio")))))</f>
        <v/>
      </c>
    </row>
    <row r="202" customFormat="false" ht="15" hidden="false" customHeight="false" outlineLevel="0" collapsed="false">
      <c r="A202" s="19"/>
      <c r="B202" s="18"/>
      <c r="C202" s="18"/>
      <c r="D202" s="18"/>
      <c r="E202" s="15"/>
      <c r="F202" s="21"/>
      <c r="G202" s="21"/>
      <c r="H202" s="21"/>
      <c r="I202" s="15"/>
      <c r="J202" s="22" t="str">
        <f aca="false">IF(OR(F202="",F202=0),"",G202/F202)</f>
        <v/>
      </c>
      <c r="K202" s="8" t="str">
        <f aca="false">IF(OR(G202="",G202=0),"",E202/G202)</f>
        <v/>
      </c>
      <c r="L202" s="8" t="str">
        <f aca="false">IF(OR(H202="",H202=0),"",E202/H202)</f>
        <v/>
      </c>
      <c r="M202" s="12" t="str">
        <f aca="false">IF(OR(E202="",E202=0),"",I202/E202)</f>
        <v/>
      </c>
      <c r="N202" s="8" t="str">
        <f aca="false">IF(E202="","",I202-E202)</f>
        <v/>
      </c>
      <c r="O202" s="14" t="str">
        <f aca="false">IF(E202="","",IF(E202&lt;5,"Seguir probando",IF(M202="","",IF(M202&gt;=3,"Escalar (subir presupuesto)",IF(M202&gt;=1.5,"Optimizar creativo","Pausar o cambiar anuncio")))))</f>
        <v/>
      </c>
    </row>
    <row r="203" customFormat="false" ht="15" hidden="false" customHeight="false" outlineLevel="0" collapsed="false">
      <c r="A203" s="19"/>
      <c r="B203" s="18"/>
      <c r="C203" s="18"/>
      <c r="D203" s="18"/>
      <c r="E203" s="15"/>
      <c r="F203" s="21"/>
      <c r="G203" s="21"/>
      <c r="H203" s="21"/>
      <c r="I203" s="15"/>
      <c r="J203" s="22" t="str">
        <f aca="false">IF(OR(F203="",F203=0),"",G203/F203)</f>
        <v/>
      </c>
      <c r="K203" s="8" t="str">
        <f aca="false">IF(OR(G203="",G203=0),"",E203/G203)</f>
        <v/>
      </c>
      <c r="L203" s="8" t="str">
        <f aca="false">IF(OR(H203="",H203=0),"",E203/H203)</f>
        <v/>
      </c>
      <c r="M203" s="12" t="str">
        <f aca="false">IF(OR(E203="",E203=0),"",I203/E203)</f>
        <v/>
      </c>
      <c r="N203" s="8" t="str">
        <f aca="false">IF(E203="","",I203-E203)</f>
        <v/>
      </c>
      <c r="O203" s="14" t="str">
        <f aca="false">IF(E203="","",IF(E203&lt;5,"Seguir probando",IF(M203="","",IF(M203&gt;=3,"Escalar (subir presupuesto)",IF(M203&gt;=1.5,"Optimizar creativo","Pausar o cambiar anuncio")))))</f>
        <v/>
      </c>
    </row>
    <row r="204" customFormat="false" ht="15" hidden="false" customHeight="false" outlineLevel="0" collapsed="false">
      <c r="A204" s="19"/>
      <c r="B204" s="18"/>
      <c r="C204" s="18"/>
      <c r="D204" s="18"/>
      <c r="E204" s="15"/>
      <c r="F204" s="21"/>
      <c r="G204" s="21"/>
      <c r="H204" s="21"/>
      <c r="I204" s="15"/>
      <c r="J204" s="22" t="str">
        <f aca="false">IF(OR(F204="",F204=0),"",G204/F204)</f>
        <v/>
      </c>
      <c r="K204" s="8" t="str">
        <f aca="false">IF(OR(G204="",G204=0),"",E204/G204)</f>
        <v/>
      </c>
      <c r="L204" s="8" t="str">
        <f aca="false">IF(OR(H204="",H204=0),"",E204/H204)</f>
        <v/>
      </c>
      <c r="M204" s="12" t="str">
        <f aca="false">IF(OR(E204="",E204=0),"",I204/E204)</f>
        <v/>
      </c>
      <c r="N204" s="8" t="str">
        <f aca="false">IF(E204="","",I204-E204)</f>
        <v/>
      </c>
      <c r="O204" s="14" t="str">
        <f aca="false">IF(E204="","",IF(E204&lt;5,"Seguir probando",IF(M204="","",IF(M204&gt;=3,"Escalar (subir presupuesto)",IF(M204&gt;=1.5,"Optimizar creativo","Pausar o cambiar anuncio")))))</f>
        <v/>
      </c>
    </row>
  </sheetData>
  <conditionalFormatting sqref="N5:N204">
    <cfRule type="cellIs" priority="2" operator="lessThan" aboveAverage="0" equalAverage="0" bottom="0" percent="0" rank="0" text="" dxfId="2">
      <formula>0</formula>
    </cfRule>
    <cfRule type="cellIs" priority="3" operator="greaterThan" aboveAverage="0" equalAverage="0" bottom="0" percent="0" rank="0" text="" dxfId="7">
      <formula>0</formula>
    </cfRule>
  </conditionalFormatting>
  <dataValidations count="2">
    <dataValidation allowBlank="true" errorStyle="stop" operator="between" showDropDown="false" showErrorMessage="false" showInputMessage="false" sqref="C5:C204" type="list">
      <formula1>"Meta,TikTok,Google,Otro"</formula1>
      <formula2>0</formula2>
    </dataValidation>
    <dataValidation allowBlank="true" errorStyle="stop" operator="between" showDropDown="false" showErrorMessage="false" showInputMessage="false" sqref="B5:B204" type="list">
      <formula1>Productos!$B$5:$B$34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2026-10-12T21:01:05Z</dcterms:created>
  <dc:creator>openpyxl</dc:creator>
  <dc:description/>
  <dc:language>en-US</dc:language>
  <cp:lastModifiedBy/>
  <dcterms:modified xsi:type="dcterms:W3CDTF">2026-10-12T21:01:05Z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