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os" sheetId="1" state="visible" r:id="rId3"/>
    <sheet name="Plan_100K" sheetId="2" state="visible" r:id="rId4"/>
    <sheet name="Promociones_Q4" sheetId="3" state="visible" r:id="rId5"/>
    <sheet name="Como_vali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<sst xmlns="http://schemas.openxmlformats.org/spreadsheetml/2006/main" count="151" uniqueCount="142">
  <si>
    <t xml:space="preserve">5 productos candidatos - Q4 2026</t>
  </si>
  <si>
    <t xml:space="preserve">HIPÓTESIS a validar: los costos Dropi, fletes y precios son SUPUESTOS míos. Cámbialos (amarillo) por los reales de tu catálogo Dropi.</t>
  </si>
  <si>
    <t xml:space="preserve">Importante: no tuve acceso al catálogo de Dropi ni a datos de ventas en vivo. Las categorías salen de tendencias de Q4 publicadas; el producto exacto lo eliges tú en Dropi (ver hoja Cómo validar).</t>
  </si>
  <si>
    <t xml:space="preserve">#</t>
  </si>
  <si>
    <t xml:space="preserve">Producto (tipo a buscar en Dropi)</t>
  </si>
  <si>
    <t xml:space="preserve">Categoría</t>
  </si>
  <si>
    <t xml:space="preserve">Tipo</t>
  </si>
  <si>
    <t xml:space="preserve">Por qué en Q4</t>
  </si>
  <si>
    <t xml:space="preserve">Costo Dropi (USD)</t>
  </si>
  <si>
    <t xml:space="preserve">Flete (USD)</t>
  </si>
  <si>
    <t xml:space="preserve">Precio venta (USD)</t>
  </si>
  <si>
    <t xml:space="preserve">Comisión pasarela %</t>
  </si>
  <si>
    <t xml:space="preserve">% devolución / no entrega</t>
  </si>
  <si>
    <t xml:space="preserve">Costo por devolución (USD)</t>
  </si>
  <si>
    <t xml:space="preserve">Utilidad antes de publicidad</t>
  </si>
  <si>
    <t xml:space="preserve">Margen %</t>
  </si>
  <si>
    <t xml:space="preserve">CPA máximo</t>
  </si>
  <si>
    <t xml:space="preserve">ROAS mínimo</t>
  </si>
  <si>
    <t xml:space="preserve">CPA base esperado (USD)</t>
  </si>
  <si>
    <t xml:space="preserve">CPA Q4 (con alza)</t>
  </si>
  <si>
    <t xml:space="preserve">Utilidad neta por venta</t>
  </si>
  <si>
    <t xml:space="preserve">Margen neto %</t>
  </si>
  <si>
    <t xml:space="preserve">Veredicto</t>
  </si>
  <si>
    <t xml:space="preserve">Proyector de galaxia / estrellas LED</t>
  </si>
  <si>
    <t xml:space="preserve">Hogar / regalo</t>
  </si>
  <si>
    <t xml:space="preserve">Viral</t>
  </si>
  <si>
    <t xml:space="preserve">Regalo visual, muy grabable en TikTok; sube en Navidad</t>
  </si>
  <si>
    <t xml:space="preserve">Masajeador de cuello / espalda (EMS)</t>
  </si>
  <si>
    <t xml:space="preserve">Salud y bienestar</t>
  </si>
  <si>
    <t xml:space="preserve">Regalo de Navidad y Día del Padre/Madre; demanda de salud</t>
  </si>
  <si>
    <t xml:space="preserve">Audífonos Bluetooth (TWS)</t>
  </si>
  <si>
    <t xml:space="preserve">Tecnología</t>
  </si>
  <si>
    <t xml:space="preserve">Evergreen</t>
  </si>
  <si>
    <t xml:space="preserve">Regalo muy buscado en Black Friday; mercado grande pero competido</t>
  </si>
  <si>
    <t xml:space="preserve">Kit facial gua sha + rodillo + limpiador</t>
  </si>
  <si>
    <t xml:space="preserve">Belleza</t>
  </si>
  <si>
    <t xml:space="preserve">Belleza/cuidado personal como regalo; videos antes/después</t>
  </si>
  <si>
    <t xml:space="preserve">Cepillo quitapelos autolimpiante mascotas</t>
  </si>
  <si>
    <t xml:space="preserve">Mascotas</t>
  </si>
  <si>
    <t xml:space="preserve">Mascotas es nicho estable; fácil de demostrar en video</t>
  </si>
  <si>
    <t xml:space="preserve">Cómo leerla: 'Utilidad antes de publicidad' = precio - costo - flete - comisión - devoluciones esperadas.</t>
  </si>
  <si>
    <t xml:space="preserve">CPA máximo = lo más que puedes pagar en anuncios por venta sin perder. CPA Q4 = CPA base subido por el alza de costos de anuncios en noviembre (se cambia en Plan_100K!B5).</t>
  </si>
  <si>
    <t xml:space="preserve">Fuente del alza: Copyfy indica que los costos de publicidad suben 40-80% en noviembre (blog de un proveedor; úsalo como referencia, no como dato exacto).</t>
  </si>
  <si>
    <t xml:space="preserve">% de devolución 15%: supuesto mío para contra entrega (COD). Revisa tu tasa real de entrega con tu transportadora/Dropi.</t>
  </si>
  <si>
    <t xml:space="preserve">Todo en USD. Si Dropi te cobra en pesos, convierte con la tasa del día.</t>
  </si>
  <si>
    <t xml:space="preserve">Plan para llegar a $100,000 en ventas</t>
  </si>
  <si>
    <t xml:space="preserve">Cuánto gastarías en producto, fletes, comisiones, devoluciones y publicidad para vender la meta en Q4.</t>
  </si>
  <si>
    <t xml:space="preserve">Meta de ventas (USD)</t>
  </si>
  <si>
    <t xml:space="preserve">Tu objetivo</t>
  </si>
  <si>
    <t xml:space="preserve">Alza del costo de publicidad en Q4 %</t>
  </si>
  <si>
    <t xml:space="preserve">Supuesto: entre 40% y 80% (fuente: blog Copyfy)</t>
  </si>
  <si>
    <t xml:space="preserve">Otros costos fijos totales (apps, dominio, herramientas)</t>
  </si>
  <si>
    <t xml:space="preserve">Supuesto mío ~ $200/mes x 3 meses</t>
  </si>
  <si>
    <t xml:space="preserve">Fecha de inicio</t>
  </si>
  <si>
    <t xml:space="preserve">Hoy</t>
  </si>
  <si>
    <t xml:space="preserve">Fecha límite de la meta</t>
  </si>
  <si>
    <t xml:space="preserve">Fin de año</t>
  </si>
  <si>
    <t xml:space="preserve">Producto</t>
  </si>
  <si>
    <t xml:space="preserve">% de la meta (mezcla de ventas)</t>
  </si>
  <si>
    <t xml:space="preserve">Ingresos meta</t>
  </si>
  <si>
    <t xml:space="preserve">Precio venta</t>
  </si>
  <si>
    <t xml:space="preserve">Unidades a vender</t>
  </si>
  <si>
    <t xml:space="preserve">Costo de producto</t>
  </si>
  <si>
    <t xml:space="preserve">Fletes</t>
  </si>
  <si>
    <t xml:space="preserve">Comisiones pasarela</t>
  </si>
  <si>
    <t xml:space="preserve">Devoluciones</t>
  </si>
  <si>
    <t xml:space="preserve">Publicidad (CPA Q4)</t>
  </si>
  <si>
    <t xml:space="preserve">Utilidad neta</t>
  </si>
  <si>
    <t xml:space="preserve">TOTAL</t>
  </si>
  <si>
    <t xml:space="preserve">Revisa que la mezcla sume 100%.</t>
  </si>
  <si>
    <t xml:space="preserve">RESULTADO FINAL</t>
  </si>
  <si>
    <t xml:space="preserve">Utilidad neta antes de costos fijos</t>
  </si>
  <si>
    <t xml:space="preserve">Menos: otros costos fijos</t>
  </si>
  <si>
    <t xml:space="preserve">UTILIDAD FINAL ESTIMADA</t>
  </si>
  <si>
    <t xml:space="preserve">Costos totales (producto+flete+comisión+devol.+publicidad+fijos)</t>
  </si>
  <si>
    <t xml:space="preserve">ROAS global necesario (ventas / publicidad)</t>
  </si>
  <si>
    <t xml:space="preserve">RITMO NECESARIO</t>
  </si>
  <si>
    <t xml:space="preserve">Días disponibles</t>
  </si>
  <si>
    <t xml:space="preserve">Ventas por día (USD)</t>
  </si>
  <si>
    <t xml:space="preserve">Pedidos por día</t>
  </si>
  <si>
    <t xml:space="preserve">Publicidad por día (USD)</t>
  </si>
  <si>
    <t xml:space="preserve">Capital que necesitas adelantar</t>
  </si>
  <si>
    <t xml:space="preserve">Publicidad total (lo principal que pagas antes de cobrar)</t>
  </si>
  <si>
    <t xml:space="preserve">Nota</t>
  </si>
  <si>
    <t xml:space="preserve">En Dropi con contra entrega normalmente no pagas el producto por adelantado: se descuenta de tu ganancia cuando se entrega. Confírmalo con tu cuenta Dropi.</t>
  </si>
  <si>
    <t xml:space="preserve">Calendario de promociones - último trimestre</t>
  </si>
  <si>
    <t xml:space="preserve">Cada promo calcula si todavía te deja ganancia después de pagar publicidad. Cambia el producto y el descuento (amarillo).</t>
  </si>
  <si>
    <t xml:space="preserve">Fecha</t>
  </si>
  <si>
    <t xml:space="preserve">Evento</t>
  </si>
  <si>
    <t xml:space="preserve">Promoción sugerida</t>
  </si>
  <si>
    <t xml:space="preserve">Descuento %</t>
  </si>
  <si>
    <t xml:space="preserve">Precio con promo</t>
  </si>
  <si>
    <t xml:space="preserve">CPA Q4 del producto</t>
  </si>
  <si>
    <t xml:space="preserve">¿Conviene?</t>
  </si>
  <si>
    <t xml:space="preserve">Halloween</t>
  </si>
  <si>
    <t xml:space="preserve">Combo 'Noche de terror': compra 1 y recibe envío gratis</t>
  </si>
  <si>
    <t xml:space="preserve">Día de los Solteros (11.11)</t>
  </si>
  <si>
    <t xml:space="preserve">11% de descuento solo ese día + cuenta regresiva</t>
  </si>
  <si>
    <t xml:space="preserve">Pre-Black Friday</t>
  </si>
  <si>
    <t xml:space="preserve">Lista VIP por WhatsApp: acceso anticipado con 10% extra</t>
  </si>
  <si>
    <t xml:space="preserve">Black Friday</t>
  </si>
  <si>
    <t xml:space="preserve">Oferta relámpago 24 h + regalo sorpresa (producto barato de Dropi)</t>
  </si>
  <si>
    <t xml:space="preserve">Cyber Monday</t>
  </si>
  <si>
    <t xml:space="preserve">Última oportunidad: mismo descuento con envío rápido</t>
  </si>
  <si>
    <t xml:space="preserve">Green Monday</t>
  </si>
  <si>
    <t xml:space="preserve">Descuento por volumen: 2da unidad con 25% menos</t>
  </si>
  <si>
    <t xml:space="preserve">Último día de entrega navideña</t>
  </si>
  <si>
    <t xml:space="preserve">Urgencia: 'pídelo hoy y llega antes de Navidad'</t>
  </si>
  <si>
    <t xml:space="preserve">Post-Navidad / Año Nuevo</t>
  </si>
  <si>
    <t xml:space="preserve">Liquidación de stock + regalos para 'tu yo del 2027'</t>
  </si>
  <si>
    <t xml:space="preserve">En la columna 'Producto' escribe el número del producto (1 a 5) según la hoja Candidatos.</t>
  </si>
  <si>
    <t xml:space="preserve">Fechas de Black Friday (27 nov) y Cyber Monday (30 nov) de 2026 tomadas del blog Copyfy; verifica el calendario de tu país.</t>
  </si>
  <si>
    <t xml:space="preserve">Cómo validar cada producto y llegar a $100K</t>
  </si>
  <si>
    <t xml:space="preserve">Antes de gastar en anuncios, que el producto pase estas pruebas.</t>
  </si>
  <si>
    <t xml:space="preserve">PRUEBAS ANTES DE COMPRAR PUBLICIDAD</t>
  </si>
  <si>
    <t xml:space="preserve">1. Stock en Dropi</t>
  </si>
  <si>
    <t xml:space="preserve">Que tenga stock suficiente (idealmente más de 500 unidades) y varios proveedores.</t>
  </si>
  <si>
    <t xml:space="preserve">2. Tasa de entrega</t>
  </si>
  <si>
    <t xml:space="preserve">Pregunta a Dropi/transportadora la tasa de entrega por ciudad. Si es menor a 75%, sube el % de devolución en Candidatos.</t>
  </si>
  <si>
    <t xml:space="preserve">3. Espía a la competencia</t>
  </si>
  <si>
    <t xml:space="preserve">Mira la Biblioteca de Anuncios de Meta y TikTok Creative Center: si muchos anuncian el mismo producto hace meses, funciona pero está saturado.</t>
  </si>
  <si>
    <t xml:space="preserve">4. Margen</t>
  </si>
  <si>
    <t xml:space="preserve">Que la hoja Candidatos diga 'SÍ' con tu costo real. Si dice 'NO', descártalo aunque sea viral.</t>
  </si>
  <si>
    <t xml:space="preserve">5. Prueba pequeña</t>
  </si>
  <si>
    <t xml:space="preserve">Gasta 2-3 veces tu CPA máximo por producto (hoja Publicidad de la otra plantilla). Escala solo los de ROAS alto.</t>
  </si>
  <si>
    <t xml:space="preserve">VIRAL vs EVERGREEN</t>
  </si>
  <si>
    <t xml:space="preserve">Virales</t>
  </si>
  <si>
    <t xml:space="preserve">Venden rápido, pero se saturan en semanas y el costo de anuncio sube. Entra pronto, no compres inventario grande.</t>
  </si>
  <si>
    <t xml:space="preserve">Venden estable todo el año y toleran más competencia. Son tu base para no depender de una sola moda.</t>
  </si>
  <si>
    <t xml:space="preserve">RUTA SUGERIDA A $100K</t>
  </si>
  <si>
    <t xml:space="preserve">Semana 1-2 (oct)</t>
  </si>
  <si>
    <t xml:space="preserve">Valida los 5 productos con pruebas pequeñas. Crea las páginas y videos. Quédate con los 2-3 mejores.</t>
  </si>
  <si>
    <t xml:space="preserve">Semana 3-4 (fin oct)</t>
  </si>
  <si>
    <t xml:space="preserve">Escala lo que funcione 20-30% cada 2-3 días. Empieza la lista de WhatsApp/correo para Black Friday.</t>
  </si>
  <si>
    <t xml:space="preserve">Noviembre</t>
  </si>
  <si>
    <t xml:space="preserve">Pre-Black Friday, Black Friday, Cyber Monday: es donde se concentra gran parte de las ventas. Prepara anuncios antes de que suba el costo.</t>
  </si>
  <si>
    <t xml:space="preserve">Diciembre</t>
  </si>
  <si>
    <t xml:space="preserve">Combos y urgencia de entrega hasta el 18-20 dic. Después, liquidación para el siguiente año.</t>
  </si>
  <si>
    <t xml:space="preserve">Reglas de oro</t>
  </si>
  <si>
    <t xml:space="preserve">Revisa la hoja Plan_100K cada semana: ¿vas por el ritmo diario de ventas? Si el ROAS real queda debajo del ROAS mínimo, pausa.</t>
  </si>
  <si>
    <t xml:space="preserve">AVISO</t>
  </si>
  <si>
    <t xml:space="preserve">La meta de $100K es ambiciosa para un primer trimestre; el plan calcula lo que necesitarías, no lo garantiza. Mira el ritmo diario en Plan_100K.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</si>
</sst>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"/>
    <numFmt numFmtId="167" formatCode="0.0%;\(0.0%\);\-"/>
    <numFmt numFmtId="168" formatCode="0.00\x"/>
    <numFmt numFmtId="169" formatCode="\$#,##0;&quot;($&quot;#,##0\);\-"/>
    <numFmt numFmtId="170" formatCode="0%"/>
    <numFmt numFmtId="171" formatCode="dd/mm/yyyy"/>
    <numFmt numFmtId="172" formatCode="#,##0"/>
    <numFmt numFmtId="173" formatCode="0"/>
    <numFmt numFmtId="174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3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</row>
    <row r="6" customFormat="false" ht="43.5" hidden="false" customHeight="true" outlineLevel="0" collapsed="false">
      <c r="A6" s="5" t="n">
        <v>1</v>
      </c>
      <c r="B6" s="6" t="s">
        <v>23</v>
      </c>
      <c r="C6" s="6" t="s">
        <v>24</v>
      </c>
      <c r="D6" s="6" t="s">
        <v>25</v>
      </c>
      <c r="E6" s="6" t="s">
        <v>26</v>
      </c>
      <c r="F6" s="7" t="n">
        <v>9</v>
      </c>
      <c r="G6" s="7" t="n">
        <v>4.5</v>
      </c>
      <c r="H6" s="7" t="n">
        <v>34.99</v>
      </c>
      <c r="I6" s="8" t="n">
        <v>0.04</v>
      </c>
      <c r="J6" s="8" t="n">
        <v>0.15</v>
      </c>
      <c r="K6" s="7" t="n">
        <v>4.5</v>
      </c>
      <c r="L6" s="9" t="n">
        <f aca="false">H6-F6-G6-H6*I6-J6*K6</f>
        <v>19.4154</v>
      </c>
      <c r="M6" s="10" t="n">
        <f aca="false">IF(H6=0,0,L6/H6)</f>
        <v>0.554884252643613</v>
      </c>
      <c r="N6" s="9" t="n">
        <f aca="false">MAX(L6,0)</f>
        <v>19.4154</v>
      </c>
      <c r="O6" s="11" t="n">
        <f aca="false">IF(L6&lt;=0,"Sin margen",H6/L6)</f>
        <v>1.80217765279108</v>
      </c>
      <c r="P6" s="7" t="n">
        <v>9</v>
      </c>
      <c r="Q6" s="9" t="n">
        <f aca="false">P6*(1+Plan_100K!$B$5)</f>
        <v>14.4</v>
      </c>
      <c r="R6" s="12" t="n">
        <f aca="false">L6-Q6</f>
        <v>5.0154</v>
      </c>
      <c r="S6" s="10" t="n">
        <f aca="false">IF(H6=0,0,R6/H6)</f>
        <v>0.143338096599028</v>
      </c>
      <c r="T6" s="13" t="str">
        <f aca="false">IF(R6&lt;=0,"NO: pierde dinero",IF(S6&gt;=0.15,"SÍ: probar con fuerza","Probar con cuidado"))</f>
        <v>Probar con cuidado</v>
      </c>
    </row>
    <row r="7" customFormat="false" ht="43.5" hidden="false" customHeight="true" outlineLevel="0" collapsed="false">
      <c r="A7" s="5" t="n">
        <v>2</v>
      </c>
      <c r="B7" s="6" t="s">
        <v>27</v>
      </c>
      <c r="C7" s="6" t="s">
        <v>28</v>
      </c>
      <c r="D7" s="6" t="s">
        <v>25</v>
      </c>
      <c r="E7" s="6" t="s">
        <v>29</v>
      </c>
      <c r="F7" s="7" t="n">
        <v>11</v>
      </c>
      <c r="G7" s="7" t="n">
        <v>4.5</v>
      </c>
      <c r="H7" s="7" t="n">
        <v>39.99</v>
      </c>
      <c r="I7" s="8" t="n">
        <v>0.04</v>
      </c>
      <c r="J7" s="8" t="n">
        <v>0.15</v>
      </c>
      <c r="K7" s="7" t="n">
        <v>4.5</v>
      </c>
      <c r="L7" s="9" t="n">
        <f aca="false">H7-F7-G7-H7*I7-J7*K7</f>
        <v>22.2154</v>
      </c>
      <c r="M7" s="10" t="n">
        <f aca="false">IF(H7=0,0,L7/H7)</f>
        <v>0.555523880970243</v>
      </c>
      <c r="N7" s="9" t="n">
        <f aca="false">MAX(L7,0)</f>
        <v>22.2154</v>
      </c>
      <c r="O7" s="11" t="n">
        <f aca="false">IF(L7&lt;=0,"Sin margen",H7/L7)</f>
        <v>1.80010263150787</v>
      </c>
      <c r="P7" s="7" t="n">
        <v>11</v>
      </c>
      <c r="Q7" s="9" t="n">
        <f aca="false">P7*(1+Plan_100K!$B$5)</f>
        <v>17.6</v>
      </c>
      <c r="R7" s="12" t="n">
        <f aca="false">L7-Q7</f>
        <v>4.6154</v>
      </c>
      <c r="S7" s="10" t="n">
        <f aca="false">IF(H7=0,0,R7/H7)</f>
        <v>0.115413853463366</v>
      </c>
      <c r="T7" s="13" t="str">
        <f aca="false">IF(R7&lt;=0,"NO: pierde dinero",IF(S7&gt;=0.15,"SÍ: probar con fuerza","Probar con cuidado"))</f>
        <v>Probar con cuidado</v>
      </c>
    </row>
    <row r="8" customFormat="false" ht="43.5" hidden="false" customHeight="true" outlineLevel="0" collapsed="false">
      <c r="A8" s="5" t="n">
        <v>3</v>
      </c>
      <c r="B8" s="6" t="s">
        <v>30</v>
      </c>
      <c r="C8" s="6" t="s">
        <v>31</v>
      </c>
      <c r="D8" s="6" t="s">
        <v>32</v>
      </c>
      <c r="E8" s="6" t="s">
        <v>33</v>
      </c>
      <c r="F8" s="7" t="n">
        <v>8</v>
      </c>
      <c r="G8" s="7" t="n">
        <v>4</v>
      </c>
      <c r="H8" s="7" t="n">
        <v>29.99</v>
      </c>
      <c r="I8" s="8" t="n">
        <v>0.04</v>
      </c>
      <c r="J8" s="8" t="n">
        <v>0.15</v>
      </c>
      <c r="K8" s="7" t="n">
        <v>4</v>
      </c>
      <c r="L8" s="9" t="n">
        <f aca="false">H8-F8-G8-H8*I8-J8*K8</f>
        <v>16.1904</v>
      </c>
      <c r="M8" s="10" t="n">
        <f aca="false">IF(H8=0,0,L8/H8)</f>
        <v>0.539859953317773</v>
      </c>
      <c r="N8" s="9" t="n">
        <f aca="false">MAX(L8,0)</f>
        <v>16.1904</v>
      </c>
      <c r="O8" s="11" t="n">
        <f aca="false">IF(L8&lt;=0,"Sin margen",H8/L8)</f>
        <v>1.85233224626939</v>
      </c>
      <c r="P8" s="7" t="n">
        <v>10</v>
      </c>
      <c r="Q8" s="9" t="n">
        <f aca="false">P8*(1+Plan_100K!$B$5)</f>
        <v>16</v>
      </c>
      <c r="R8" s="12" t="n">
        <f aca="false">L8-Q8</f>
        <v>0.190399999999997</v>
      </c>
      <c r="S8" s="10" t="n">
        <f aca="false">IF(H8=0,0,R8/H8)</f>
        <v>0.00634878292764244</v>
      </c>
      <c r="T8" s="13" t="str">
        <f aca="false">IF(R8&lt;=0,"NO: pierde dinero",IF(S8&gt;=0.15,"SÍ: probar con fuerza","Probar con cuidado"))</f>
        <v>Probar con cuidado</v>
      </c>
    </row>
    <row r="9" customFormat="false" ht="43.5" hidden="false" customHeight="true" outlineLevel="0" collapsed="false">
      <c r="A9" s="5" t="n">
        <v>4</v>
      </c>
      <c r="B9" s="6" t="s">
        <v>34</v>
      </c>
      <c r="C9" s="6" t="s">
        <v>35</v>
      </c>
      <c r="D9" s="6" t="s">
        <v>25</v>
      </c>
      <c r="E9" s="6" t="s">
        <v>36</v>
      </c>
      <c r="F9" s="7" t="n">
        <v>5</v>
      </c>
      <c r="G9" s="7" t="n">
        <v>4</v>
      </c>
      <c r="H9" s="7" t="n">
        <v>24.99</v>
      </c>
      <c r="I9" s="8" t="n">
        <v>0.04</v>
      </c>
      <c r="J9" s="8" t="n">
        <v>0.15</v>
      </c>
      <c r="K9" s="7" t="n">
        <v>4</v>
      </c>
      <c r="L9" s="9" t="n">
        <f aca="false">H9-F9-G9-H9*I9-J9*K9</f>
        <v>14.3904</v>
      </c>
      <c r="M9" s="10" t="n">
        <f aca="false">IF(H9=0,0,L9/H9)</f>
        <v>0.575846338535414</v>
      </c>
      <c r="N9" s="9" t="n">
        <f aca="false">MAX(L9,0)</f>
        <v>14.3904</v>
      </c>
      <c r="O9" s="11" t="n">
        <f aca="false">IF(L9&lt;=0,"Sin margen",H9/L9)</f>
        <v>1.73657438292195</v>
      </c>
      <c r="P9" s="7" t="n">
        <v>7</v>
      </c>
      <c r="Q9" s="9" t="n">
        <f aca="false">P9*(1+Plan_100K!$B$5)</f>
        <v>11.2</v>
      </c>
      <c r="R9" s="12" t="n">
        <f aca="false">L9-Q9</f>
        <v>3.1904</v>
      </c>
      <c r="S9" s="10" t="n">
        <f aca="false">IF(H9=0,0,R9/H9)</f>
        <v>0.127667066826731</v>
      </c>
      <c r="T9" s="13" t="str">
        <f aca="false">IF(R9&lt;=0,"NO: pierde dinero",IF(S9&gt;=0.15,"SÍ: probar con fuerza","Probar con cuidado"))</f>
        <v>Probar con cuidado</v>
      </c>
    </row>
    <row r="10" customFormat="false" ht="43.5" hidden="false" customHeight="true" outlineLevel="0" collapsed="false">
      <c r="A10" s="5" t="n">
        <v>5</v>
      </c>
      <c r="B10" s="6" t="s">
        <v>37</v>
      </c>
      <c r="C10" s="6" t="s">
        <v>38</v>
      </c>
      <c r="D10" s="6" t="s">
        <v>32</v>
      </c>
      <c r="E10" s="6" t="s">
        <v>39</v>
      </c>
      <c r="F10" s="7" t="n">
        <v>3.5</v>
      </c>
      <c r="G10" s="7" t="n">
        <v>4</v>
      </c>
      <c r="H10" s="7" t="n">
        <v>19.99</v>
      </c>
      <c r="I10" s="8" t="n">
        <v>0.04</v>
      </c>
      <c r="J10" s="8" t="n">
        <v>0.15</v>
      </c>
      <c r="K10" s="7" t="n">
        <v>4</v>
      </c>
      <c r="L10" s="9" t="n">
        <f aca="false">H10-F10-G10-H10*I10-J10*K10</f>
        <v>11.0904</v>
      </c>
      <c r="M10" s="10" t="n">
        <f aca="false">IF(H10=0,0,L10/H10)</f>
        <v>0.55479739869935</v>
      </c>
      <c r="N10" s="9" t="n">
        <f aca="false">MAX(L10,0)</f>
        <v>11.0904</v>
      </c>
      <c r="O10" s="11" t="n">
        <f aca="false">IF(L10&lt;=0,"Sin margen",H10/L10)</f>
        <v>1.80245978503931</v>
      </c>
      <c r="P10" s="7" t="n">
        <v>6</v>
      </c>
      <c r="Q10" s="9" t="n">
        <f aca="false">P10*(1+Plan_100K!$B$5)</f>
        <v>9.6</v>
      </c>
      <c r="R10" s="12" t="n">
        <f aca="false">L10-Q10</f>
        <v>1.4904</v>
      </c>
      <c r="S10" s="10" t="n">
        <f aca="false">IF(H10=0,0,R10/H10)</f>
        <v>0.0745572786393196</v>
      </c>
      <c r="T10" s="13" t="str">
        <f aca="false">IF(R10&lt;=0,"NO: pierde dinero",IF(S10&gt;=0.15,"SÍ: probar con fuerza","Probar con cuidado"))</f>
        <v>Probar con cuidado</v>
      </c>
    </row>
    <row r="12" customFormat="false" ht="15" hidden="false" customHeight="false" outlineLevel="0" collapsed="false">
      <c r="A12" s="2" t="s">
        <v>40</v>
      </c>
    </row>
    <row r="13" customFormat="false" ht="15" hidden="false" customHeight="false" outlineLevel="0" collapsed="false">
      <c r="A13" s="2" t="s">
        <v>41</v>
      </c>
    </row>
    <row r="14" customFormat="false" ht="15" hidden="false" customHeight="false" outlineLevel="0" collapsed="false">
      <c r="A14" s="2" t="s">
        <v>42</v>
      </c>
    </row>
    <row r="15" customFormat="false" ht="15" hidden="false" customHeight="false" outlineLevel="0" collapsed="false">
      <c r="A15" s="2" t="s">
        <v>43</v>
      </c>
    </row>
    <row r="16" customFormat="false" ht="15" hidden="false" customHeight="false" outlineLevel="0" collapsed="false">
      <c r="A16" s="2" t="s">
        <v>44</v>
      </c>
    </row>
  </sheetData>
  <conditionalFormatting sqref="T6:T10">
    <cfRule type="expression" priority="2" aboveAverage="0" equalAverage="0" bottom="0" percent="0" rank="0" text="" dxfId="0">
      <formula>LEFT(T6,2)="SÍ"</formula>
    </cfRule>
    <cfRule type="expression" priority="3" aboveAverage="0" equalAverage="0" bottom="0" percent="0" rank="0" text="" dxfId="1">
      <formula>LEFT(T6,2)="NO"</formula>
    </cfRule>
    <cfRule type="expression" priority="4" aboveAverage="0" equalAverage="0" bottom="0" percent="0" rank="0" text="" dxfId="2">
      <formula>LEFT(T6,5)="Probar"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14" t="s">
        <v>47</v>
      </c>
      <c r="B4" s="15" t="n">
        <v>100000</v>
      </c>
      <c r="C4" s="2" t="s">
        <v>48</v>
      </c>
    </row>
    <row r="5" customFormat="false" ht="15" hidden="false" customHeight="false" outlineLevel="0" collapsed="false">
      <c r="A5" s="14" t="s">
        <v>49</v>
      </c>
      <c r="B5" s="16" t="n">
        <v>0.6</v>
      </c>
      <c r="C5" s="2" t="s">
        <v>50</v>
      </c>
    </row>
    <row r="6" customFormat="false" ht="15" hidden="false" customHeight="false" outlineLevel="0" collapsed="false">
      <c r="A6" s="14" t="s">
        <v>51</v>
      </c>
      <c r="B6" s="15" t="n">
        <v>600</v>
      </c>
      <c r="C6" s="2" t="s">
        <v>52</v>
      </c>
    </row>
    <row r="7" customFormat="false" ht="15" hidden="false" customHeight="false" outlineLevel="0" collapsed="false">
      <c r="A7" s="14" t="s">
        <v>53</v>
      </c>
      <c r="B7" s="17" t="n">
        <v>46307</v>
      </c>
      <c r="C7" s="2" t="s">
        <v>54</v>
      </c>
    </row>
    <row r="8" customFormat="false" ht="15" hidden="false" customHeight="false" outlineLevel="0" collapsed="false">
      <c r="A8" s="14" t="s">
        <v>55</v>
      </c>
      <c r="B8" s="17" t="n">
        <v>46387</v>
      </c>
      <c r="C8" s="2" t="s">
        <v>56</v>
      </c>
    </row>
    <row r="10" customFormat="false" ht="43.5" hidden="false" customHeight="true" outlineLevel="0" collapsed="false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66</v>
      </c>
      <c r="K10" s="4" t="s">
        <v>67</v>
      </c>
      <c r="L10" s="4" t="s">
        <v>21</v>
      </c>
    </row>
    <row r="11" customFormat="false" ht="15" hidden="false" customHeight="false" outlineLevel="0" collapsed="false">
      <c r="A11" s="5" t="str">
        <f aca="false">Candidatos!B6</f>
        <v>Proyector de galaxia / estrellas LED</v>
      </c>
      <c r="B11" s="16" t="n">
        <v>0.25</v>
      </c>
      <c r="C11" s="18" t="n">
        <f aca="false">$B$4*B11</f>
        <v>25000</v>
      </c>
      <c r="D11" s="9" t="n">
        <f aca="false">Candidatos!H6</f>
        <v>34.99</v>
      </c>
      <c r="E11" s="19" t="n">
        <f aca="false">IF(D11=0,0,C11/D11)</f>
        <v>714.48985424407</v>
      </c>
      <c r="F11" s="18" t="n">
        <f aca="false">E11*Candidatos!F6</f>
        <v>6430.40868819663</v>
      </c>
      <c r="G11" s="18" t="n">
        <f aca="false">E11*Candidatos!G6</f>
        <v>3215.20434409831</v>
      </c>
      <c r="H11" s="18" t="n">
        <f aca="false">C11*Candidatos!I6</f>
        <v>1000</v>
      </c>
      <c r="I11" s="18" t="n">
        <f aca="false">E11*Candidatos!J6*Candidatos!K6</f>
        <v>482.280651614747</v>
      </c>
      <c r="J11" s="18" t="n">
        <f aca="false">E11*Candidatos!Q6</f>
        <v>10288.6539011146</v>
      </c>
      <c r="K11" s="20" t="n">
        <f aca="false">C11-F11-G11-H11-I11-J11</f>
        <v>3583.45241497571</v>
      </c>
      <c r="L11" s="10" t="n">
        <f aca="false">IF(C11=0,0,K11/C11)</f>
        <v>0.143338096599028</v>
      </c>
    </row>
    <row r="12" customFormat="false" ht="15" hidden="false" customHeight="false" outlineLevel="0" collapsed="false">
      <c r="A12" s="5" t="str">
        <f aca="false">Candidatos!B7</f>
        <v>Masajeador de cuello / espalda (EMS)</v>
      </c>
      <c r="B12" s="16" t="n">
        <v>0.25</v>
      </c>
      <c r="C12" s="18" t="n">
        <f aca="false">$B$4*B12</f>
        <v>25000</v>
      </c>
      <c r="D12" s="9" t="n">
        <f aca="false">Candidatos!H7</f>
        <v>39.99</v>
      </c>
      <c r="E12" s="19" t="n">
        <f aca="false">IF(D12=0,0,C12/D12)</f>
        <v>625.156289072268</v>
      </c>
      <c r="F12" s="18" t="n">
        <f aca="false">E12*Candidatos!F7</f>
        <v>6876.71917979495</v>
      </c>
      <c r="G12" s="18" t="n">
        <f aca="false">E12*Candidatos!G7</f>
        <v>2813.20330082521</v>
      </c>
      <c r="H12" s="18" t="n">
        <f aca="false">C12*Candidatos!I7</f>
        <v>1000</v>
      </c>
      <c r="I12" s="18" t="n">
        <f aca="false">E12*Candidatos!J7*Candidatos!K7</f>
        <v>421.980495123781</v>
      </c>
      <c r="J12" s="18" t="n">
        <f aca="false">E12*Candidatos!Q7</f>
        <v>11002.7506876719</v>
      </c>
      <c r="K12" s="20" t="n">
        <f aca="false">C12-F12-G12-H12-I12-J12</f>
        <v>2885.34633658415</v>
      </c>
      <c r="L12" s="10" t="n">
        <f aca="false">IF(C12=0,0,K12/C12)</f>
        <v>0.115413853463366</v>
      </c>
    </row>
    <row r="13" customFormat="false" ht="15" hidden="false" customHeight="false" outlineLevel="0" collapsed="false">
      <c r="A13" s="5" t="str">
        <f aca="false">Candidatos!B8</f>
        <v>Audífonos Bluetooth (TWS)</v>
      </c>
      <c r="B13" s="16" t="n">
        <v>0.2</v>
      </c>
      <c r="C13" s="18" t="n">
        <f aca="false">$B$4*B13</f>
        <v>20000</v>
      </c>
      <c r="D13" s="9" t="n">
        <f aca="false">Candidatos!H8</f>
        <v>29.99</v>
      </c>
      <c r="E13" s="19" t="n">
        <f aca="false">IF(D13=0,0,C13/D13)</f>
        <v>666.888962987663</v>
      </c>
      <c r="F13" s="18" t="n">
        <f aca="false">E13*Candidatos!F8</f>
        <v>5335.1117039013</v>
      </c>
      <c r="G13" s="18" t="n">
        <f aca="false">E13*Candidatos!G8</f>
        <v>2667.55585195065</v>
      </c>
      <c r="H13" s="18" t="n">
        <f aca="false">C13*Candidatos!I8</f>
        <v>800</v>
      </c>
      <c r="I13" s="18" t="n">
        <f aca="false">E13*Candidatos!J8*Candidatos!K8</f>
        <v>400.133377792598</v>
      </c>
      <c r="J13" s="18" t="n">
        <f aca="false">E13*Candidatos!Q8</f>
        <v>10670.2234078026</v>
      </c>
      <c r="K13" s="20" t="n">
        <f aca="false">C13-F13-G13-H13-I13-J13</f>
        <v>126.97565855285</v>
      </c>
      <c r="L13" s="10" t="n">
        <f aca="false">IF(C13=0,0,K13/C13)</f>
        <v>0.00634878292764252</v>
      </c>
    </row>
    <row r="14" customFormat="false" ht="15" hidden="false" customHeight="false" outlineLevel="0" collapsed="false">
      <c r="A14" s="5" t="str">
        <f aca="false">Candidatos!B9</f>
        <v>Kit facial gua sha + rodillo + limpiador</v>
      </c>
      <c r="B14" s="16" t="n">
        <v>0.15</v>
      </c>
      <c r="C14" s="18" t="n">
        <f aca="false">$B$4*B14</f>
        <v>15000</v>
      </c>
      <c r="D14" s="9" t="n">
        <f aca="false">Candidatos!H9</f>
        <v>24.99</v>
      </c>
      <c r="E14" s="19" t="n">
        <f aca="false">IF(D14=0,0,C14/D14)</f>
        <v>600.240096038416</v>
      </c>
      <c r="F14" s="18" t="n">
        <f aca="false">E14*Candidatos!F9</f>
        <v>3001.20048019208</v>
      </c>
      <c r="G14" s="18" t="n">
        <f aca="false">E14*Candidatos!G9</f>
        <v>2400.96038415366</v>
      </c>
      <c r="H14" s="18" t="n">
        <f aca="false">C14*Candidatos!I9</f>
        <v>600</v>
      </c>
      <c r="I14" s="18" t="n">
        <f aca="false">E14*Candidatos!J9*Candidatos!K9</f>
        <v>360.144057623049</v>
      </c>
      <c r="J14" s="18" t="n">
        <f aca="false">E14*Candidatos!Q9</f>
        <v>6722.68907563025</v>
      </c>
      <c r="K14" s="20" t="n">
        <f aca="false">C14-F14-G14-H14-I14-J14</f>
        <v>1915.00600240096</v>
      </c>
      <c r="L14" s="10" t="n">
        <f aca="false">IF(C14=0,0,K14/C14)</f>
        <v>0.12766706682673</v>
      </c>
    </row>
    <row r="15" customFormat="false" ht="15" hidden="false" customHeight="false" outlineLevel="0" collapsed="false">
      <c r="A15" s="5" t="str">
        <f aca="false">Candidatos!B10</f>
        <v>Cepillo quitapelos autolimpiante mascotas</v>
      </c>
      <c r="B15" s="16" t="n">
        <v>0.15</v>
      </c>
      <c r="C15" s="18" t="n">
        <f aca="false">$B$4*B15</f>
        <v>15000</v>
      </c>
      <c r="D15" s="9" t="n">
        <f aca="false">Candidatos!H10</f>
        <v>19.99</v>
      </c>
      <c r="E15" s="19" t="n">
        <f aca="false">IF(D15=0,0,C15/D15)</f>
        <v>750.375187593797</v>
      </c>
      <c r="F15" s="18" t="n">
        <f aca="false">E15*Candidatos!F10</f>
        <v>2626.31315657829</v>
      </c>
      <c r="G15" s="18" t="n">
        <f aca="false">E15*Candidatos!G10</f>
        <v>3001.50075037519</v>
      </c>
      <c r="H15" s="18" t="n">
        <f aca="false">C15*Candidatos!I10</f>
        <v>600</v>
      </c>
      <c r="I15" s="18" t="n">
        <f aca="false">E15*Candidatos!J10*Candidatos!K10</f>
        <v>450.225112556278</v>
      </c>
      <c r="J15" s="18" t="n">
        <f aca="false">E15*Candidatos!Q10</f>
        <v>7203.60180090045</v>
      </c>
      <c r="K15" s="20" t="n">
        <f aca="false">C15-F15-G15-H15-I15-J15</f>
        <v>1118.35917958979</v>
      </c>
      <c r="L15" s="10" t="n">
        <f aca="false">IF(C15=0,0,K15/C15)</f>
        <v>0.0745572786393196</v>
      </c>
    </row>
    <row r="16" customFormat="false" ht="15" hidden="false" customHeight="false" outlineLevel="0" collapsed="false">
      <c r="A16" s="13" t="s">
        <v>68</v>
      </c>
      <c r="B16" s="21" t="n">
        <f aca="false">SUM(B11:B15)</f>
        <v>1</v>
      </c>
      <c r="C16" s="20" t="n">
        <f aca="false">SUM(C11:C15)</f>
        <v>100000</v>
      </c>
      <c r="D16" s="5"/>
      <c r="E16" s="22" t="n">
        <f aca="false">SUM(E11:E15)</f>
        <v>3357.15038993621</v>
      </c>
      <c r="F16" s="20" t="n">
        <f aca="false">SUM(F11:F15)</f>
        <v>24269.7532086632</v>
      </c>
      <c r="G16" s="20" t="n">
        <f aca="false">SUM(G11:G15)</f>
        <v>14098.424631403</v>
      </c>
      <c r="H16" s="20" t="n">
        <f aca="false">SUM(H11:H15)</f>
        <v>4000</v>
      </c>
      <c r="I16" s="20" t="n">
        <f aca="false">SUM(I11:I15)</f>
        <v>2114.76369471045</v>
      </c>
      <c r="J16" s="20" t="n">
        <f aca="false">SUM(J11:J15)</f>
        <v>45887.9188731198</v>
      </c>
      <c r="K16" s="20" t="n">
        <f aca="false">SUM(K11:K15)</f>
        <v>9629.13959210346</v>
      </c>
      <c r="L16" s="23" t="n">
        <f aca="false">IF(C16=0,0,K16/C16)</f>
        <v>0.0962913959210345</v>
      </c>
    </row>
    <row r="17" customFormat="false" ht="15" hidden="false" customHeight="false" outlineLevel="0" collapsed="false">
      <c r="A17" s="2" t="s">
        <v>69</v>
      </c>
    </row>
    <row r="19" customFormat="false" ht="15" hidden="false" customHeight="false" outlineLevel="0" collapsed="false">
      <c r="A19" s="24" t="s">
        <v>70</v>
      </c>
      <c r="B19" s="25"/>
      <c r="C19" s="25"/>
    </row>
    <row r="20" customFormat="false" ht="15" hidden="false" customHeight="false" outlineLevel="0" collapsed="false">
      <c r="A20" s="14" t="s">
        <v>71</v>
      </c>
      <c r="B20" s="18" t="n">
        <f aca="false">K16</f>
        <v>9629.13959210346</v>
      </c>
    </row>
    <row r="21" customFormat="false" ht="15" hidden="false" customHeight="false" outlineLevel="0" collapsed="false">
      <c r="A21" s="14" t="s">
        <v>72</v>
      </c>
      <c r="B21" s="18" t="n">
        <f aca="false">B6</f>
        <v>600</v>
      </c>
    </row>
    <row r="22" customFormat="false" ht="15" hidden="false" customHeight="false" outlineLevel="0" collapsed="false">
      <c r="A22" s="26" t="s">
        <v>73</v>
      </c>
      <c r="B22" s="20" t="n">
        <f aca="false">B20-B21</f>
        <v>9029.13959210346</v>
      </c>
    </row>
    <row r="23" customFormat="false" ht="15" hidden="false" customHeight="false" outlineLevel="0" collapsed="false">
      <c r="A23" s="14" t="s">
        <v>74</v>
      </c>
      <c r="B23" s="18" t="n">
        <f aca="false">F16+G16+H16+I16+J16+B6</f>
        <v>90970.8604078965</v>
      </c>
    </row>
    <row r="24" customFormat="false" ht="15" hidden="false" customHeight="false" outlineLevel="0" collapsed="false">
      <c r="A24" s="14" t="s">
        <v>75</v>
      </c>
      <c r="B24" s="11" t="n">
        <f aca="false">IF(J16=0,0,C16/J16)</f>
        <v>2.17922282064044</v>
      </c>
    </row>
    <row r="25" customFormat="false" ht="15" hidden="false" customHeight="false" outlineLevel="0" collapsed="false">
      <c r="A25" s="24" t="s">
        <v>76</v>
      </c>
      <c r="B25" s="25"/>
      <c r="C25" s="25"/>
    </row>
    <row r="26" customFormat="false" ht="15" hidden="false" customHeight="false" outlineLevel="0" collapsed="false">
      <c r="A26" s="14" t="s">
        <v>77</v>
      </c>
      <c r="B26" s="27" t="n">
        <f aca="false">MAX(B8-B7,1)</f>
        <v>80</v>
      </c>
    </row>
    <row r="27" customFormat="false" ht="15" hidden="false" customHeight="false" outlineLevel="0" collapsed="false">
      <c r="A27" s="14" t="s">
        <v>78</v>
      </c>
      <c r="B27" s="18" t="n">
        <f aca="false">B4/B26</f>
        <v>1250</v>
      </c>
    </row>
    <row r="28" customFormat="false" ht="15" hidden="false" customHeight="false" outlineLevel="0" collapsed="false">
      <c r="A28" s="14" t="s">
        <v>79</v>
      </c>
      <c r="B28" s="28" t="n">
        <f aca="false">E16/B26</f>
        <v>41.9643798742027</v>
      </c>
    </row>
    <row r="29" customFormat="false" ht="15" hidden="false" customHeight="false" outlineLevel="0" collapsed="false">
      <c r="A29" s="14" t="s">
        <v>80</v>
      </c>
      <c r="B29" s="18" t="n">
        <f aca="false">J16/B26</f>
        <v>573.598985913998</v>
      </c>
    </row>
    <row r="30" customFormat="false" ht="15" hidden="false" customHeight="false" outlineLevel="0" collapsed="false">
      <c r="A30" s="24" t="s">
        <v>81</v>
      </c>
      <c r="B30" s="25"/>
      <c r="C30" s="25"/>
    </row>
    <row r="31" customFormat="false" ht="15" hidden="false" customHeight="false" outlineLevel="0" collapsed="false">
      <c r="A31" s="14" t="s">
        <v>82</v>
      </c>
      <c r="B31" s="18" t="n">
        <f aca="false">J16</f>
        <v>45887.9188731198</v>
      </c>
    </row>
    <row r="32" customFormat="false" ht="15" hidden="false" customHeight="false" outlineLevel="0" collapsed="false">
      <c r="A32" s="26" t="s">
        <v>83</v>
      </c>
      <c r="B32" s="2" t="s">
        <v>84</v>
      </c>
    </row>
  </sheetData>
  <conditionalFormatting sqref="B16">
    <cfRule type="cellIs" priority="2" operator="not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43.5" hidden="false" customHeight="true" outlineLevel="0" collapsed="false">
      <c r="A4" s="4" t="s">
        <v>87</v>
      </c>
      <c r="B4" s="4" t="s">
        <v>88</v>
      </c>
      <c r="C4" s="4" t="s">
        <v>89</v>
      </c>
      <c r="D4" s="4" t="s">
        <v>57</v>
      </c>
      <c r="E4" s="4" t="s">
        <v>90</v>
      </c>
      <c r="F4" s="4" t="s">
        <v>91</v>
      </c>
      <c r="G4" s="4" t="s">
        <v>14</v>
      </c>
      <c r="H4" s="4" t="s">
        <v>15</v>
      </c>
      <c r="I4" s="4" t="s">
        <v>92</v>
      </c>
      <c r="J4" s="4" t="s">
        <v>67</v>
      </c>
      <c r="K4" s="4" t="s">
        <v>93</v>
      </c>
    </row>
    <row r="5" customFormat="false" ht="39.75" hidden="false" customHeight="true" outlineLevel="0" collapsed="false">
      <c r="A5" s="17" t="n">
        <v>46326</v>
      </c>
      <c r="B5" s="6" t="s">
        <v>94</v>
      </c>
      <c r="C5" s="6" t="s">
        <v>95</v>
      </c>
      <c r="D5" s="29" t="n">
        <v>1</v>
      </c>
      <c r="E5" s="16" t="n">
        <v>0.1</v>
      </c>
      <c r="F5" s="9" t="n">
        <f aca="false">INDEX(Candidatos!$H$6:$H$10,D5)*(1-E5)</f>
        <v>31.491</v>
      </c>
      <c r="G5" s="9" t="n">
        <f aca="false">F5-INDEX(Candidatos!$F$6:$F$10,D5)-INDEX(Candidatos!$G$6:$G$10,D5)-F5*INDEX(Candidatos!$I$6:$I$10,D5)-INDEX(Candidatos!$J$6:$J$10,D5)*INDEX(Candidatos!$K$6:$K$10,D5)</f>
        <v>16.05636</v>
      </c>
      <c r="H5" s="10" t="n">
        <f aca="false">IF(F5=0,0,G5/F5)</f>
        <v>0.509871391826236</v>
      </c>
      <c r="I5" s="9" t="n">
        <f aca="false">INDEX(Candidatos!$Q$6:$Q$10,D5)</f>
        <v>14.4</v>
      </c>
      <c r="J5" s="12" t="n">
        <f aca="false">G5-I5</f>
        <v>1.65636</v>
      </c>
      <c r="K5" s="13" t="str">
        <f aca="false">IF(J5&lt;=0,"NO: pierdes dinero",IF(J5/F5&gt;=0.1,"SÍ","Justo: úsala solo para captar clientes"))</f>
        <v>Justo: úsala solo para captar clientes</v>
      </c>
    </row>
    <row r="6" customFormat="false" ht="39.75" hidden="false" customHeight="true" outlineLevel="0" collapsed="false">
      <c r="A6" s="17" t="n">
        <v>46337</v>
      </c>
      <c r="B6" s="6" t="s">
        <v>96</v>
      </c>
      <c r="C6" s="6" t="s">
        <v>97</v>
      </c>
      <c r="D6" s="29" t="n">
        <v>4</v>
      </c>
      <c r="E6" s="16" t="n">
        <v>0.11</v>
      </c>
      <c r="F6" s="9" t="n">
        <f aca="false">INDEX(Candidatos!$H$6:$H$10,D6)*(1-E6)</f>
        <v>22.2411</v>
      </c>
      <c r="G6" s="9" t="n">
        <f aca="false">F6-INDEX(Candidatos!$F$6:$F$10,D6)-INDEX(Candidatos!$G$6:$G$10,D6)-F6*INDEX(Candidatos!$I$6:$I$10,D6)-INDEX(Candidatos!$J$6:$J$10,D6)*INDEX(Candidatos!$K$6:$K$10,D6)</f>
        <v>11.751456</v>
      </c>
      <c r="H6" s="10" t="n">
        <f aca="false">IF(F6=0,0,G6/F6)</f>
        <v>0.528366672511701</v>
      </c>
      <c r="I6" s="9" t="n">
        <f aca="false">INDEX(Candidatos!$Q$6:$Q$10,D6)</f>
        <v>11.2</v>
      </c>
      <c r="J6" s="12" t="n">
        <f aca="false">G6-I6</f>
        <v>0.551455999999998</v>
      </c>
      <c r="K6" s="13" t="str">
        <f aca="false">IF(J6&lt;=0,"NO: pierdes dinero",IF(J6/F6&gt;=0.1,"SÍ","Justo: úsala solo para captar clientes"))</f>
        <v>Justo: úsala solo para captar clientes</v>
      </c>
    </row>
    <row r="7" customFormat="false" ht="39.75" hidden="false" customHeight="true" outlineLevel="0" collapsed="false">
      <c r="A7" s="17" t="n">
        <v>46346</v>
      </c>
      <c r="B7" s="6" t="s">
        <v>98</v>
      </c>
      <c r="C7" s="6" t="s">
        <v>99</v>
      </c>
      <c r="D7" s="29" t="n">
        <v>2</v>
      </c>
      <c r="E7" s="16" t="n">
        <v>0.1</v>
      </c>
      <c r="F7" s="9" t="n">
        <f aca="false">INDEX(Candidatos!$H$6:$H$10,D7)*(1-E7)</f>
        <v>35.991</v>
      </c>
      <c r="G7" s="9" t="n">
        <f aca="false">F7-INDEX(Candidatos!$F$6:$F$10,D7)-INDEX(Candidatos!$G$6:$G$10,D7)-F7*INDEX(Candidatos!$I$6:$I$10,D7)-INDEX(Candidatos!$J$6:$J$10,D7)*INDEX(Candidatos!$K$6:$K$10,D7)</f>
        <v>18.37636</v>
      </c>
      <c r="H7" s="10" t="n">
        <f aca="false">IF(F7=0,0,G7/F7)</f>
        <v>0.510582089966936</v>
      </c>
      <c r="I7" s="9" t="n">
        <f aca="false">INDEX(Candidatos!$Q$6:$Q$10,D7)</f>
        <v>17.6</v>
      </c>
      <c r="J7" s="12" t="n">
        <f aca="false">G7-I7</f>
        <v>0.776359999999997</v>
      </c>
      <c r="K7" s="13" t="str">
        <f aca="false">IF(J7&lt;=0,"NO: pierdes dinero",IF(J7/F7&gt;=0.1,"SÍ","Justo: úsala solo para captar clientes"))</f>
        <v>Justo: úsala solo para captar clientes</v>
      </c>
    </row>
    <row r="8" customFormat="false" ht="39.75" hidden="false" customHeight="true" outlineLevel="0" collapsed="false">
      <c r="A8" s="17" t="n">
        <v>46353</v>
      </c>
      <c r="B8" s="6" t="s">
        <v>100</v>
      </c>
      <c r="C8" s="6" t="s">
        <v>101</v>
      </c>
      <c r="D8" s="29" t="n">
        <v>1</v>
      </c>
      <c r="E8" s="16" t="n">
        <v>0.2</v>
      </c>
      <c r="F8" s="9" t="n">
        <f aca="false">INDEX(Candidatos!$H$6:$H$10,D8)*(1-E8)</f>
        <v>27.992</v>
      </c>
      <c r="G8" s="9" t="n">
        <f aca="false">F8-INDEX(Candidatos!$F$6:$F$10,D8)-INDEX(Candidatos!$G$6:$G$10,D8)-F8*INDEX(Candidatos!$I$6:$I$10,D8)-INDEX(Candidatos!$J$6:$J$10,D8)*INDEX(Candidatos!$K$6:$K$10,D8)</f>
        <v>12.69732</v>
      </c>
      <c r="H8" s="10" t="n">
        <f aca="false">IF(F8=0,0,G8/F8)</f>
        <v>0.453605315804516</v>
      </c>
      <c r="I8" s="9" t="n">
        <f aca="false">INDEX(Candidatos!$Q$6:$Q$10,D8)</f>
        <v>14.4</v>
      </c>
      <c r="J8" s="12" t="n">
        <f aca="false">G8-I8</f>
        <v>-1.70268</v>
      </c>
      <c r="K8" s="13" t="str">
        <f aca="false">IF(J8&lt;=0,"NO: pierdes dinero",IF(J8/F8&gt;=0.1,"SÍ","Justo: úsala solo para captar clientes"))</f>
        <v>NO: pierdes dinero</v>
      </c>
    </row>
    <row r="9" customFormat="false" ht="39.75" hidden="false" customHeight="true" outlineLevel="0" collapsed="false">
      <c r="A9" s="17" t="n">
        <v>46356</v>
      </c>
      <c r="B9" s="6" t="s">
        <v>102</v>
      </c>
      <c r="C9" s="6" t="s">
        <v>103</v>
      </c>
      <c r="D9" s="29" t="n">
        <v>3</v>
      </c>
      <c r="E9" s="16" t="n">
        <v>0.15</v>
      </c>
      <c r="F9" s="9" t="n">
        <f aca="false">INDEX(Candidatos!$H$6:$H$10,D9)*(1-E9)</f>
        <v>25.4915</v>
      </c>
      <c r="G9" s="9" t="n">
        <f aca="false">F9-INDEX(Candidatos!$F$6:$F$10,D9)-INDEX(Candidatos!$G$6:$G$10,D9)-F9*INDEX(Candidatos!$I$6:$I$10,D9)-INDEX(Candidatos!$J$6:$J$10,D9)*INDEX(Candidatos!$K$6:$K$10,D9)</f>
        <v>11.87184</v>
      </c>
      <c r="H9" s="10" t="n">
        <f aca="false">IF(F9=0,0,G9/F9)</f>
        <v>0.465717592138556</v>
      </c>
      <c r="I9" s="9" t="n">
        <f aca="false">INDEX(Candidatos!$Q$6:$Q$10,D9)</f>
        <v>16</v>
      </c>
      <c r="J9" s="12" t="n">
        <f aca="false">G9-I9</f>
        <v>-4.12816</v>
      </c>
      <c r="K9" s="13" t="str">
        <f aca="false">IF(J9&lt;=0,"NO: pierdes dinero",IF(J9/F9&gt;=0.1,"SÍ","Justo: úsala solo para captar clientes"))</f>
        <v>NO: pierdes dinero</v>
      </c>
    </row>
    <row r="10" customFormat="false" ht="39.75" hidden="false" customHeight="true" outlineLevel="0" collapsed="false">
      <c r="A10" s="17" t="n">
        <v>46370</v>
      </c>
      <c r="B10" s="6" t="s">
        <v>104</v>
      </c>
      <c r="C10" s="6" t="s">
        <v>105</v>
      </c>
      <c r="D10" s="29" t="n">
        <v>5</v>
      </c>
      <c r="E10" s="16" t="n">
        <v>0.15</v>
      </c>
      <c r="F10" s="9" t="n">
        <f aca="false">INDEX(Candidatos!$H$6:$H$10,D10)*(1-E10)</f>
        <v>16.9915</v>
      </c>
      <c r="G10" s="9" t="n">
        <f aca="false">F10-INDEX(Candidatos!$F$6:$F$10,D10)-INDEX(Candidatos!$G$6:$G$10,D10)-F10*INDEX(Candidatos!$I$6:$I$10,D10)-INDEX(Candidatos!$J$6:$J$10,D10)*INDEX(Candidatos!$K$6:$K$10,D10)</f>
        <v>8.21184</v>
      </c>
      <c r="H10" s="10" t="n">
        <f aca="false">IF(F10=0,0,G10/F10)</f>
        <v>0.483291057293353</v>
      </c>
      <c r="I10" s="9" t="n">
        <f aca="false">INDEX(Candidatos!$Q$6:$Q$10,D10)</f>
        <v>9.6</v>
      </c>
      <c r="J10" s="12" t="n">
        <f aca="false">G10-I10</f>
        <v>-1.38816</v>
      </c>
      <c r="K10" s="13" t="str">
        <f aca="false">IF(J10&lt;=0,"NO: pierdes dinero",IF(J10/F10&gt;=0.1,"SÍ","Justo: úsala solo para captar clientes"))</f>
        <v>NO: pierdes dinero</v>
      </c>
    </row>
    <row r="11" customFormat="false" ht="39.75" hidden="false" customHeight="true" outlineLevel="0" collapsed="false">
      <c r="A11" s="17" t="n">
        <v>46374</v>
      </c>
      <c r="B11" s="6" t="s">
        <v>106</v>
      </c>
      <c r="C11" s="6" t="s">
        <v>107</v>
      </c>
      <c r="D11" s="29" t="n">
        <v>2</v>
      </c>
      <c r="E11" s="16" t="n">
        <v>0.1</v>
      </c>
      <c r="F11" s="9" t="n">
        <f aca="false">INDEX(Candidatos!$H$6:$H$10,D11)*(1-E11)</f>
        <v>35.991</v>
      </c>
      <c r="G11" s="9" t="n">
        <f aca="false">F11-INDEX(Candidatos!$F$6:$F$10,D11)-INDEX(Candidatos!$G$6:$G$10,D11)-F11*INDEX(Candidatos!$I$6:$I$10,D11)-INDEX(Candidatos!$J$6:$J$10,D11)*INDEX(Candidatos!$K$6:$K$10,D11)</f>
        <v>18.37636</v>
      </c>
      <c r="H11" s="10" t="n">
        <f aca="false">IF(F11=0,0,G11/F11)</f>
        <v>0.510582089966936</v>
      </c>
      <c r="I11" s="9" t="n">
        <f aca="false">INDEX(Candidatos!$Q$6:$Q$10,D11)</f>
        <v>17.6</v>
      </c>
      <c r="J11" s="12" t="n">
        <f aca="false">G11-I11</f>
        <v>0.776359999999997</v>
      </c>
      <c r="K11" s="13" t="str">
        <f aca="false">IF(J11&lt;=0,"NO: pierdes dinero",IF(J11/F11&gt;=0.1,"SÍ","Justo: úsala solo para captar clientes"))</f>
        <v>Justo: úsala solo para captar clientes</v>
      </c>
    </row>
    <row r="12" customFormat="false" ht="39.75" hidden="false" customHeight="true" outlineLevel="0" collapsed="false">
      <c r="A12" s="17" t="n">
        <v>46382</v>
      </c>
      <c r="B12" s="6" t="s">
        <v>108</v>
      </c>
      <c r="C12" s="6" t="s">
        <v>109</v>
      </c>
      <c r="D12" s="29" t="n">
        <v>4</v>
      </c>
      <c r="E12" s="16" t="n">
        <v>0.2</v>
      </c>
      <c r="F12" s="9" t="n">
        <f aca="false">INDEX(Candidatos!$H$6:$H$10,D12)*(1-E12)</f>
        <v>19.992</v>
      </c>
      <c r="G12" s="9" t="n">
        <f aca="false">F12-INDEX(Candidatos!$F$6:$F$10,D12)-INDEX(Candidatos!$G$6:$G$10,D12)-F12*INDEX(Candidatos!$I$6:$I$10,D12)-INDEX(Candidatos!$J$6:$J$10,D12)*INDEX(Candidatos!$K$6:$K$10,D12)</f>
        <v>9.59232</v>
      </c>
      <c r="H12" s="10" t="n">
        <f aca="false">IF(F12=0,0,G12/F12)</f>
        <v>0.479807923169268</v>
      </c>
      <c r="I12" s="9" t="n">
        <f aca="false">INDEX(Candidatos!$Q$6:$Q$10,D12)</f>
        <v>11.2</v>
      </c>
      <c r="J12" s="12" t="n">
        <f aca="false">G12-I12</f>
        <v>-1.60768</v>
      </c>
      <c r="K12" s="13" t="str">
        <f aca="false">IF(J12&lt;=0,"NO: pierdes dinero",IF(J12/F12&gt;=0.1,"SÍ","Justo: úsala solo para captar clientes"))</f>
        <v>NO: pierdes dinero</v>
      </c>
    </row>
    <row r="13" customFormat="false" ht="15" hidden="false" customHeight="false" outlineLevel="0" collapsed="false">
      <c r="A13" s="2" t="s">
        <v>110</v>
      </c>
    </row>
    <row r="14" customFormat="false" ht="15" hidden="false" customHeight="false" outlineLevel="0" collapsed="false">
      <c r="A14" s="2" t="s">
        <v>111</v>
      </c>
    </row>
  </sheetData>
  <conditionalFormatting sqref="K5:K12">
    <cfRule type="expression" priority="2" aboveAverage="0" equalAverage="0" bottom="0" percent="0" rank="0" text="" dxfId="0">
      <formula>LEFT(K5,2)="SÍ"</formula>
    </cfRule>
    <cfRule type="expression" priority="3" aboveAverage="0" equalAverage="0" bottom="0" percent="0" rank="0" text="" dxfId="1">
      <formula>LEFT(K5,2)="NO"</formula>
    </cfRule>
    <cfRule type="expression" priority="4" aboveAverage="0" equalAverage="0" bottom="0" percent="0" rank="0" text="" dxfId="2">
      <formula>LEFT(K5,5)="Justo"</formula>
    </cfRule>
  </conditionalFormatting>
  <dataValidations count="1">
    <dataValidation allowBlank="false" errorStyle="stop" operator="between" showDropDown="false" showErrorMessage="false" showInputMessage="false" sqref="D5:D1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24" t="s">
        <v>114</v>
      </c>
      <c r="B4" s="25"/>
    </row>
    <row r="5" customFormat="false" ht="31.5" hidden="false" customHeight="true" outlineLevel="0" collapsed="false">
      <c r="A5" s="30" t="s">
        <v>115</v>
      </c>
      <c r="B5" s="31" t="s">
        <v>116</v>
      </c>
    </row>
    <row r="6" customFormat="false" ht="31.5" hidden="false" customHeight="true" outlineLevel="0" collapsed="false">
      <c r="A6" s="30" t="s">
        <v>117</v>
      </c>
      <c r="B6" s="31" t="s">
        <v>118</v>
      </c>
    </row>
    <row r="7" customFormat="false" ht="31.5" hidden="false" customHeight="true" outlineLevel="0" collapsed="false">
      <c r="A7" s="30" t="s">
        <v>119</v>
      </c>
      <c r="B7" s="31" t="s">
        <v>120</v>
      </c>
    </row>
    <row r="8" customFormat="false" ht="31.5" hidden="false" customHeight="true" outlineLevel="0" collapsed="false">
      <c r="A8" s="30" t="s">
        <v>121</v>
      </c>
      <c r="B8" s="31" t="s">
        <v>122</v>
      </c>
    </row>
    <row r="9" customFormat="false" ht="31.5" hidden="false" customHeight="true" outlineLevel="0" collapsed="false">
      <c r="A9" s="30" t="s">
        <v>123</v>
      </c>
      <c r="B9" s="31" t="s">
        <v>124</v>
      </c>
    </row>
    <row r="10" customFormat="false" ht="15" hidden="false" customHeight="false" outlineLevel="0" collapsed="false">
      <c r="A10" s="24" t="s">
        <v>125</v>
      </c>
      <c r="B10" s="25"/>
    </row>
    <row r="11" customFormat="false" ht="31.5" hidden="false" customHeight="true" outlineLevel="0" collapsed="false">
      <c r="A11" s="30" t="s">
        <v>126</v>
      </c>
      <c r="B11" s="31" t="s">
        <v>127</v>
      </c>
    </row>
    <row r="12" customFormat="false" ht="31.5" hidden="false" customHeight="true" outlineLevel="0" collapsed="false">
      <c r="A12" s="30" t="s">
        <v>32</v>
      </c>
      <c r="B12" s="31" t="s">
        <v>128</v>
      </c>
    </row>
    <row r="13" customFormat="false" ht="15" hidden="false" customHeight="false" outlineLevel="0" collapsed="false">
      <c r="A13" s="24" t="s">
        <v>129</v>
      </c>
      <c r="B13" s="25"/>
    </row>
    <row r="14" customFormat="false" ht="31.5" hidden="false" customHeight="true" outlineLevel="0" collapsed="false">
      <c r="A14" s="30" t="s">
        <v>130</v>
      </c>
      <c r="B14" s="31" t="s">
        <v>131</v>
      </c>
    </row>
    <row r="15" customFormat="false" ht="31.5" hidden="false" customHeight="true" outlineLevel="0" collapsed="false">
      <c r="A15" s="30" t="s">
        <v>132</v>
      </c>
      <c r="B15" s="31" t="s">
        <v>133</v>
      </c>
    </row>
    <row r="16" customFormat="false" ht="31.5" hidden="false" customHeight="true" outlineLevel="0" collapsed="false">
      <c r="A16" s="30" t="s">
        <v>134</v>
      </c>
      <c r="B16" s="31" t="s">
        <v>135</v>
      </c>
    </row>
    <row r="17" customFormat="false" ht="31.5" hidden="false" customHeight="true" outlineLevel="0" collapsed="false">
      <c r="A17" s="30" t="s">
        <v>136</v>
      </c>
      <c r="B17" s="31" t="s">
        <v>137</v>
      </c>
    </row>
    <row r="18" customFormat="false" ht="31.5" hidden="false" customHeight="true" outlineLevel="0" collapsed="false">
      <c r="A18" s="30" t="s">
        <v>138</v>
      </c>
      <c r="B18" s="31" t="s">
        <v>139</v>
      </c>
    </row>
    <row r="19" customFormat="false" ht="31.5" hidden="false" customHeight="true" outlineLevel="0" collapsed="false">
      <c r="A19" s="30" t="s">
        <v>140</v>
      </c>
      <c r="B19" s="31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2026-10-12T21:24:50Z</dcterms:created>
  <dc:creator>openpyxl</dc:creator>
  <dc:description/>
  <dc:language>en-US</dc:language>
  <cp:lastModifiedBy/>
  <dcterms:modified xsi:type="dcterms:W3CDTF">2026-10-12T21:24:50Z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