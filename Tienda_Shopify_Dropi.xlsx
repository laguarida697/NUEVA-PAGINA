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enda" sheetId="1" state="visible" r:id="rId3"/>
    <sheet name="Variantes_Shopif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<sst xmlns="http://schemas.openxmlformats.org/spreadsheetml/2006/main" count="65" uniqueCount="55">
  <si>
    <t xml:space="preserve">Mi tienda - productos de Shopify con costos Dropi y ganancias (COP)</t>
  </si>
  <si>
    <t xml:space="preserve">Productos copiados de PagePilot/Shopify el 13/10/2026. Amarillo = tú escribes (costos de Dropi). Lo demás se calcula solo.</t>
  </si>
  <si>
    <t xml:space="preserve">TRM (COP por USD)</t>
  </si>
  <si>
    <t xml:space="preserve">Los precios de la tienda están en USD (24.95). Actualiza la TRM del día.</t>
  </si>
  <si>
    <t xml:space="preserve">#</t>
  </si>
  <si>
    <t xml:space="preserve">Producto (como en Shopify)</t>
  </si>
  <si>
    <t xml:space="preserve">Variantes</t>
  </si>
  <si>
    <t xml:space="preserve">Precio venta (USD)</t>
  </si>
  <si>
    <t xml:space="preserve">Precio antes / tachado (USD)</t>
  </si>
  <si>
    <t xml:space="preserve">Precio venta (COP)</t>
  </si>
  <si>
    <t xml:space="preserve">Costo Dropi (COP)</t>
  </si>
  <si>
    <t xml:space="preserve">Flete (COP)</t>
  </si>
  <si>
    <t xml:space="preserve">Comisión recaudo %</t>
  </si>
  <si>
    <t xml:space="preserve">% devolución</t>
  </si>
  <si>
    <t xml:space="preserve">Costo por devolución (COP)</t>
  </si>
  <si>
    <t xml:space="preserve">Utilidad por venta antes de publicidad</t>
  </si>
  <si>
    <t xml:space="preserve">Margen %</t>
  </si>
  <si>
    <t xml:space="preserve">CPA / publicidad por venta (COP)</t>
  </si>
  <si>
    <t xml:space="preserve">Utilidad neta por venta</t>
  </si>
  <si>
    <t xml:space="preserve">Unidades que estimas vender</t>
  </si>
  <si>
    <t xml:space="preserve">Ganancia total estimada</t>
  </si>
  <si>
    <t xml:space="preserve">Estado</t>
  </si>
  <si>
    <t xml:space="preserve">Página en PagePilot</t>
  </si>
  <si>
    <t xml:space="preserve">Proyector Navideño USB (versión unisex)</t>
  </si>
  <si>
    <t xml:space="preserve">Color: A, B</t>
  </si>
  <si>
    <t xml:space="preserve">Creada en PagePilot (duplicada: misma página, 2 versiones)</t>
  </si>
  <si>
    <t xml:space="preserve">https://shopify.pagepilot.ai/preview/1a1826c9-2e3e-43ed-b838-e6f7830cd343</t>
  </si>
  <si>
    <t xml:space="preserve">Proyector Navideño USB (versión hombre)</t>
  </si>
  <si>
    <t xml:space="preserve">https://shopify.pagepilot.ai/preview/bb1fc215-86c8-42ae-a1da-74a783184403</t>
  </si>
  <si>
    <t xml:space="preserve">TOTAL TODOS LOS PRODUCTOS</t>
  </si>
  <si>
    <t xml:space="preserve">Ventas totales estimadas (COP)</t>
  </si>
  <si>
    <t xml:space="preserve">Inversión en publicidad estimada (COP)</t>
  </si>
  <si>
    <t xml:space="preserve">Ganancia total estimada (COP)</t>
  </si>
  <si>
    <t xml:space="preserve">Margen neto sobre ventas</t>
  </si>
  <si>
    <t xml:space="preserve">Notas:</t>
  </si>
  <si>
    <t xml:space="preserve">- Costo Dropi $29,000, flete $15,000, publicidad $29,000 y 100 unidades son SUPUESTOS míos de ejemplo: sustitúyelos por los de tu Dropi.</t>
  </si>
  <si>
    <t xml:space="preserve">- La tienda tiene precios en USD (24.95). Para Colombia suele convenir poner el precio en COP (ej. $109,900): cambia el precio en PagePilot y actualizo el Excel.</t>
  </si>
  <si>
    <t xml:space="preserve">- Las 2 páginas son del mismo producto (versión hombre / unisex): puede que solo necesites una.</t>
  </si>
  <si>
    <t xml:space="preserve">- No puedo confirmar desde aquí si la página ya está publicada en Shopify; PagePilot solo me muestra que fue creada.</t>
  </si>
  <si>
    <t xml:space="preserve">Variantes tal cual están en la tienda</t>
  </si>
  <si>
    <t xml:space="preserve">Producto</t>
  </si>
  <si>
    <t xml:space="preserve">Opción</t>
  </si>
  <si>
    <t xml:space="preserve">Variante</t>
  </si>
  <si>
    <t xml:space="preserve">SKU</t>
  </si>
  <si>
    <t xml:space="preserve">Precio (USD)</t>
  </si>
  <si>
    <t xml:space="preserve">Precio antes (USD)</t>
  </si>
  <si>
    <t xml:space="preserve">Imagen</t>
  </si>
  <si>
    <t xml:space="preserve">Proyector Navideño USB (unisex)</t>
  </si>
  <si>
    <t xml:space="preserve">Color</t>
  </si>
  <si>
    <t xml:space="preserve">B</t>
  </si>
  <si>
    <t xml:space="preserve">https://yalcfkhxaoicnhyhhtmc.supabase.co/storage/v1/object/public/builder/ecba109d-21b4-4ed0-acf9-c4d760ba1e9b/gallery-images/1a1826c9-2e3e-43ed-b838-e6f7830cd343/1790896485466-8t7jc3qneiq.webp</t>
  </si>
  <si>
    <t xml:space="preserve">A</t>
  </si>
  <si>
    <t xml:space="preserve">https://yalcfkhxaoicnhyhhtmc.supabase.co/storage/v1/object/public/builder/ecba109d-21b4-4ed0-acf9-c4d760ba1e9b/gallery-images/1a1826c9-2e3e-43ed-b838-e6f7830cd343/1790896485404-m8lqe72tg4.webp</t>
  </si>
  <si>
    <t xml:space="preserve">Proyector Navideño USB (hombre)</t>
  </si>
  <si>
    <t xml:space="preserve">(igual que la versión unisex: imágenes de la página original)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</si>
</sst>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;\-"/>
    <numFmt numFmtId="166" formatCode="\$#,##0.00"/>
    <numFmt numFmtId="167" formatCode="0.0%"/>
    <numFmt numFmtId="168" formatCode="0.0%;\(0.0%\);\-"/>
    <numFmt numFmtId="169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u val="single"/>
      <sz val="11"/>
      <color rgb="FF0563C1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14"/>
      <color rgb="FF1F386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shopify.pagepilot.ai/preview/1a1826c9-2e3e-43ed-b838-e6f7830cd343" TargetMode="External"/><Relationship Id="rId2" Type="http://schemas.openxmlformats.org/officeDocument/2006/relationships/hyperlink" Target="https://shopify.pagepilot.ai/preview/bb1fc215-86c8-42ae-a1da-74a783184403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7" min="6" style="0" width="14"/>
    <col collapsed="false" customWidth="true" hidden="false" outlineLevel="0" max="9" min="8" style="0" width="12"/>
    <col collapsed="false" customWidth="true" hidden="false" outlineLevel="0" max="10" min="10" style="0" width="11"/>
    <col collapsed="false" customWidth="true" hidden="false" outlineLevel="0" max="11" min="11" style="0" width="14"/>
    <col collapsed="false" customWidth="true" hidden="false" outlineLevel="0" max="12" min="12" style="0" width="16"/>
    <col collapsed="false" customWidth="true" hidden="false" outlineLevel="0" max="13" min="13" style="0" width="10"/>
    <col collapsed="false" customWidth="true" hidden="false" outlineLevel="0" max="14" min="14" style="0" width="16"/>
    <col collapsed="false" customWidth="true" hidden="false" outlineLevel="0" max="15" min="15" style="0" width="15"/>
    <col collapsed="false" customWidth="true" hidden="false" outlineLevel="0" max="16" min="16" style="0" width="14"/>
    <col collapsed="false" customWidth="true" hidden="false" outlineLevel="0" max="17" min="17" style="0" width="16"/>
    <col collapsed="false" customWidth="true" hidden="false" outlineLevel="0" max="18" min="18" style="0" width="30"/>
    <col collapsed="false" customWidth="true" hidden="false" outlineLevel="0" max="19" min="19" style="0" width="5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v>3200</v>
      </c>
      <c r="C4" s="2" t="s">
        <v>3</v>
      </c>
    </row>
    <row r="6" customFormat="false" ht="48" hidden="false" customHeight="true" outlineLevel="0" collapsed="false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  <c r="J6" s="5" t="s">
        <v>13</v>
      </c>
      <c r="K6" s="5" t="s">
        <v>14</v>
      </c>
      <c r="L6" s="5" t="s">
        <v>15</v>
      </c>
      <c r="M6" s="5" t="s">
        <v>16</v>
      </c>
      <c r="N6" s="5" t="s">
        <v>17</v>
      </c>
      <c r="O6" s="5" t="s">
        <v>18</v>
      </c>
      <c r="P6" s="5" t="s">
        <v>19</v>
      </c>
      <c r="Q6" s="5" t="s">
        <v>20</v>
      </c>
      <c r="R6" s="5" t="s">
        <v>21</v>
      </c>
      <c r="S6" s="5" t="s">
        <v>22</v>
      </c>
    </row>
    <row r="7" customFormat="false" ht="39.75" hidden="false" customHeight="true" outlineLevel="0" collapsed="false">
      <c r="A7" s="6" t="n">
        <v>1</v>
      </c>
      <c r="B7" s="7" t="s">
        <v>23</v>
      </c>
      <c r="C7" s="6" t="s">
        <v>24</v>
      </c>
      <c r="D7" s="8" t="n">
        <v>24.95</v>
      </c>
      <c r="E7" s="8" t="n">
        <v>31.19</v>
      </c>
      <c r="F7" s="9" t="n">
        <f aca="false">D7*$B$4</f>
        <v>79840</v>
      </c>
      <c r="G7" s="4" t="n">
        <v>29000</v>
      </c>
      <c r="H7" s="4" t="n">
        <v>15000</v>
      </c>
      <c r="I7" s="10" t="n">
        <v>0.035</v>
      </c>
      <c r="J7" s="10" t="n">
        <v>0.2</v>
      </c>
      <c r="K7" s="4" t="n">
        <v>30000</v>
      </c>
      <c r="L7" s="9" t="n">
        <f aca="false">F7-G7-H7-F7*I7-J7*K7</f>
        <v>27045.6</v>
      </c>
      <c r="M7" s="11" t="n">
        <f aca="false">IF(F7=0,0,L7/F7)</f>
        <v>0.33874749498998</v>
      </c>
      <c r="N7" s="4" t="n">
        <v>29000</v>
      </c>
      <c r="O7" s="12" t="n">
        <f aca="false">L7-N7</f>
        <v>-1954.4</v>
      </c>
      <c r="P7" s="13" t="n">
        <v>100</v>
      </c>
      <c r="Q7" s="12" t="n">
        <f aca="false">O7*P7</f>
        <v>-195440</v>
      </c>
      <c r="R7" s="14" t="s">
        <v>25</v>
      </c>
      <c r="S7" s="15" t="s">
        <v>26</v>
      </c>
    </row>
    <row r="8" customFormat="false" ht="39.75" hidden="false" customHeight="true" outlineLevel="0" collapsed="false">
      <c r="A8" s="6" t="n">
        <v>2</v>
      </c>
      <c r="B8" s="7" t="s">
        <v>27</v>
      </c>
      <c r="C8" s="6" t="s">
        <v>24</v>
      </c>
      <c r="D8" s="8" t="n">
        <v>24.95</v>
      </c>
      <c r="E8" s="8" t="n">
        <v>31.19</v>
      </c>
      <c r="F8" s="9" t="n">
        <f aca="false">D8*$B$4</f>
        <v>79840</v>
      </c>
      <c r="G8" s="4" t="n">
        <v>29000</v>
      </c>
      <c r="H8" s="4" t="n">
        <v>15000</v>
      </c>
      <c r="I8" s="10" t="n">
        <v>0.035</v>
      </c>
      <c r="J8" s="10" t="n">
        <v>0.2</v>
      </c>
      <c r="K8" s="4" t="n">
        <v>30000</v>
      </c>
      <c r="L8" s="9" t="n">
        <f aca="false">F8-G8-H8-F8*I8-J8*K8</f>
        <v>27045.6</v>
      </c>
      <c r="M8" s="11" t="n">
        <f aca="false">IF(F8=0,0,L8/F8)</f>
        <v>0.33874749498998</v>
      </c>
      <c r="N8" s="4" t="n">
        <v>29000</v>
      </c>
      <c r="O8" s="12" t="n">
        <f aca="false">L8-N8</f>
        <v>-1954.4</v>
      </c>
      <c r="P8" s="13" t="n">
        <v>0</v>
      </c>
      <c r="Q8" s="12" t="n">
        <f aca="false">O8*P8</f>
        <v>-0</v>
      </c>
      <c r="R8" s="14" t="s">
        <v>25</v>
      </c>
      <c r="S8" s="15" t="s">
        <v>28</v>
      </c>
    </row>
    <row r="9" customFormat="false" ht="15" hidden="false" customHeight="false" outlineLevel="0" collapsed="false">
      <c r="A9" s="6" t="n">
        <v>3</v>
      </c>
      <c r="B9" s="16"/>
      <c r="C9" s="16"/>
      <c r="D9" s="17"/>
      <c r="E9" s="17"/>
      <c r="F9" s="9" t="str">
        <f aca="false">IF(D9="","",D9*$B$4)</f>
        <v/>
      </c>
      <c r="G9" s="4"/>
      <c r="H9" s="4"/>
      <c r="I9" s="10" t="n">
        <v>0.035</v>
      </c>
      <c r="J9" s="10" t="n">
        <v>0.2</v>
      </c>
      <c r="K9" s="4" t="n">
        <v>30000</v>
      </c>
      <c r="L9" s="9" t="str">
        <f aca="false">IF(OR(F9="",G9=""),"",F9-G9-H9-F9*I9-J9*K9)</f>
        <v/>
      </c>
      <c r="M9" s="11" t="str">
        <f aca="false">IF(OR(L9="",F9=""),"",L9/F9)</f>
        <v/>
      </c>
      <c r="N9" s="4"/>
      <c r="O9" s="9" t="str">
        <f aca="false">IF(OR(L9="",N9=""),"",L9-N9)</f>
        <v/>
      </c>
      <c r="P9" s="13"/>
      <c r="Q9" s="9" t="str">
        <f aca="false">IF(OR(O9="",P9=""),"",O9*P9)</f>
        <v/>
      </c>
      <c r="R9" s="6"/>
      <c r="S9" s="6"/>
    </row>
    <row r="10" customFormat="false" ht="15" hidden="false" customHeight="false" outlineLevel="0" collapsed="false">
      <c r="A10" s="6" t="n">
        <v>4</v>
      </c>
      <c r="B10" s="16"/>
      <c r="C10" s="16"/>
      <c r="D10" s="17"/>
      <c r="E10" s="17"/>
      <c r="F10" s="9" t="str">
        <f aca="false">IF(D10="","",D10*$B$4)</f>
        <v/>
      </c>
      <c r="G10" s="4"/>
      <c r="H10" s="4"/>
      <c r="I10" s="10" t="n">
        <v>0.035</v>
      </c>
      <c r="J10" s="10" t="n">
        <v>0.2</v>
      </c>
      <c r="K10" s="4" t="n">
        <v>30000</v>
      </c>
      <c r="L10" s="9" t="str">
        <f aca="false">IF(OR(F10="",G10=""),"",F10-G10-H10-F10*I10-J10*K10)</f>
        <v/>
      </c>
      <c r="M10" s="11" t="str">
        <f aca="false">IF(OR(L10="",F10=""),"",L10/F10)</f>
        <v/>
      </c>
      <c r="N10" s="4"/>
      <c r="O10" s="9" t="str">
        <f aca="false">IF(OR(L10="",N10=""),"",L10-N10)</f>
        <v/>
      </c>
      <c r="P10" s="13"/>
      <c r="Q10" s="9" t="str">
        <f aca="false">IF(OR(O10="",P10=""),"",O10*P10)</f>
        <v/>
      </c>
      <c r="R10" s="6"/>
      <c r="S10" s="6"/>
    </row>
    <row r="11" customFormat="false" ht="15" hidden="false" customHeight="false" outlineLevel="0" collapsed="false">
      <c r="A11" s="6" t="n">
        <v>5</v>
      </c>
      <c r="B11" s="16"/>
      <c r="C11" s="16"/>
      <c r="D11" s="17"/>
      <c r="E11" s="17"/>
      <c r="F11" s="9" t="str">
        <f aca="false">IF(D11="","",D11*$B$4)</f>
        <v/>
      </c>
      <c r="G11" s="4"/>
      <c r="H11" s="4"/>
      <c r="I11" s="10" t="n">
        <v>0.035</v>
      </c>
      <c r="J11" s="10" t="n">
        <v>0.2</v>
      </c>
      <c r="K11" s="4" t="n">
        <v>30000</v>
      </c>
      <c r="L11" s="9" t="str">
        <f aca="false">IF(OR(F11="",G11=""),"",F11-G11-H11-F11*I11-J11*K11)</f>
        <v/>
      </c>
      <c r="M11" s="11" t="str">
        <f aca="false">IF(OR(L11="",F11=""),"",L11/F11)</f>
        <v/>
      </c>
      <c r="N11" s="4"/>
      <c r="O11" s="9" t="str">
        <f aca="false">IF(OR(L11="",N11=""),"",L11-N11)</f>
        <v/>
      </c>
      <c r="P11" s="13"/>
      <c r="Q11" s="9" t="str">
        <f aca="false">IF(OR(O11="",P11=""),"",O11*P11)</f>
        <v/>
      </c>
      <c r="R11" s="6"/>
      <c r="S11" s="6"/>
    </row>
    <row r="12" customFormat="false" ht="15" hidden="false" customHeight="false" outlineLevel="0" collapsed="false">
      <c r="A12" s="6" t="n">
        <v>6</v>
      </c>
      <c r="B12" s="16"/>
      <c r="C12" s="16"/>
      <c r="D12" s="17"/>
      <c r="E12" s="17"/>
      <c r="F12" s="9" t="str">
        <f aca="false">IF(D12="","",D12*$B$4)</f>
        <v/>
      </c>
      <c r="G12" s="4"/>
      <c r="H12" s="4"/>
      <c r="I12" s="10" t="n">
        <v>0.035</v>
      </c>
      <c r="J12" s="10" t="n">
        <v>0.2</v>
      </c>
      <c r="K12" s="4" t="n">
        <v>30000</v>
      </c>
      <c r="L12" s="9" t="str">
        <f aca="false">IF(OR(F12="",G12=""),"",F12-G12-H12-F12*I12-J12*K12)</f>
        <v/>
      </c>
      <c r="M12" s="11" t="str">
        <f aca="false">IF(OR(L12="",F12=""),"",L12/F12)</f>
        <v/>
      </c>
      <c r="N12" s="4"/>
      <c r="O12" s="9" t="str">
        <f aca="false">IF(OR(L12="",N12=""),"",L12-N12)</f>
        <v/>
      </c>
      <c r="P12" s="13"/>
      <c r="Q12" s="9" t="str">
        <f aca="false">IF(OR(O12="",P12=""),"",O12*P12)</f>
        <v/>
      </c>
      <c r="R12" s="6"/>
      <c r="S12" s="6"/>
    </row>
    <row r="13" customFormat="false" ht="15" hidden="false" customHeight="false" outlineLevel="0" collapsed="false">
      <c r="A13" s="6" t="n">
        <v>7</v>
      </c>
      <c r="B13" s="16"/>
      <c r="C13" s="16"/>
      <c r="D13" s="17"/>
      <c r="E13" s="17"/>
      <c r="F13" s="9" t="str">
        <f aca="false">IF(D13="","",D13*$B$4)</f>
        <v/>
      </c>
      <c r="G13" s="4"/>
      <c r="H13" s="4"/>
      <c r="I13" s="10" t="n">
        <v>0.035</v>
      </c>
      <c r="J13" s="10" t="n">
        <v>0.2</v>
      </c>
      <c r="K13" s="4" t="n">
        <v>30000</v>
      </c>
      <c r="L13" s="9" t="str">
        <f aca="false">IF(OR(F13="",G13=""),"",F13-G13-H13-F13*I13-J13*K13)</f>
        <v/>
      </c>
      <c r="M13" s="11" t="str">
        <f aca="false">IF(OR(L13="",F13=""),"",L13/F13)</f>
        <v/>
      </c>
      <c r="N13" s="4"/>
      <c r="O13" s="9" t="str">
        <f aca="false">IF(OR(L13="",N13=""),"",L13-N13)</f>
        <v/>
      </c>
      <c r="P13" s="13"/>
      <c r="Q13" s="9" t="str">
        <f aca="false">IF(OR(O13="",P13=""),"",O13*P13)</f>
        <v/>
      </c>
      <c r="R13" s="6"/>
      <c r="S13" s="6"/>
    </row>
    <row r="14" customFormat="false" ht="15" hidden="false" customHeight="false" outlineLevel="0" collapsed="false">
      <c r="A14" s="6" t="n">
        <v>8</v>
      </c>
      <c r="B14" s="16"/>
      <c r="C14" s="16"/>
      <c r="D14" s="17"/>
      <c r="E14" s="17"/>
      <c r="F14" s="9" t="str">
        <f aca="false">IF(D14="","",D14*$B$4)</f>
        <v/>
      </c>
      <c r="G14" s="4"/>
      <c r="H14" s="4"/>
      <c r="I14" s="10" t="n">
        <v>0.035</v>
      </c>
      <c r="J14" s="10" t="n">
        <v>0.2</v>
      </c>
      <c r="K14" s="4" t="n">
        <v>30000</v>
      </c>
      <c r="L14" s="9" t="str">
        <f aca="false">IF(OR(F14="",G14=""),"",F14-G14-H14-F14*I14-J14*K14)</f>
        <v/>
      </c>
      <c r="M14" s="11" t="str">
        <f aca="false">IF(OR(L14="",F14=""),"",L14/F14)</f>
        <v/>
      </c>
      <c r="N14" s="4"/>
      <c r="O14" s="9" t="str">
        <f aca="false">IF(OR(L14="",N14=""),"",L14-N14)</f>
        <v/>
      </c>
      <c r="P14" s="13"/>
      <c r="Q14" s="9" t="str">
        <f aca="false">IF(OR(O14="",P14=""),"",O14*P14)</f>
        <v/>
      </c>
      <c r="R14" s="6"/>
      <c r="S14" s="6"/>
    </row>
    <row r="15" customFormat="false" ht="15" hidden="false" customHeight="false" outlineLevel="0" collapsed="false">
      <c r="A15" s="6" t="n">
        <v>9</v>
      </c>
      <c r="B15" s="16"/>
      <c r="C15" s="16"/>
      <c r="D15" s="17"/>
      <c r="E15" s="17"/>
      <c r="F15" s="9" t="str">
        <f aca="false">IF(D15="","",D15*$B$4)</f>
        <v/>
      </c>
      <c r="G15" s="4"/>
      <c r="H15" s="4"/>
      <c r="I15" s="10" t="n">
        <v>0.035</v>
      </c>
      <c r="J15" s="10" t="n">
        <v>0.2</v>
      </c>
      <c r="K15" s="4" t="n">
        <v>30000</v>
      </c>
      <c r="L15" s="9" t="str">
        <f aca="false">IF(OR(F15="",G15=""),"",F15-G15-H15-F15*I15-J15*K15)</f>
        <v/>
      </c>
      <c r="M15" s="11" t="str">
        <f aca="false">IF(OR(L15="",F15=""),"",L15/F15)</f>
        <v/>
      </c>
      <c r="N15" s="4"/>
      <c r="O15" s="9" t="str">
        <f aca="false">IF(OR(L15="",N15=""),"",L15-N15)</f>
        <v/>
      </c>
      <c r="P15" s="13"/>
      <c r="Q15" s="9" t="str">
        <f aca="false">IF(OR(O15="",P15=""),"",O15*P15)</f>
        <v/>
      </c>
      <c r="R15" s="6"/>
      <c r="S15" s="6"/>
    </row>
    <row r="16" customFormat="false" ht="15" hidden="false" customHeight="false" outlineLevel="0" collapsed="false">
      <c r="A16" s="6" t="n">
        <v>10</v>
      </c>
      <c r="B16" s="16"/>
      <c r="C16" s="16"/>
      <c r="D16" s="17"/>
      <c r="E16" s="17"/>
      <c r="F16" s="9" t="str">
        <f aca="false">IF(D16="","",D16*$B$4)</f>
        <v/>
      </c>
      <c r="G16" s="4"/>
      <c r="H16" s="4"/>
      <c r="I16" s="10" t="n">
        <v>0.035</v>
      </c>
      <c r="J16" s="10" t="n">
        <v>0.2</v>
      </c>
      <c r="K16" s="4" t="n">
        <v>30000</v>
      </c>
      <c r="L16" s="9" t="str">
        <f aca="false">IF(OR(F16="",G16=""),"",F16-G16-H16-F16*I16-J16*K16)</f>
        <v/>
      </c>
      <c r="M16" s="11" t="str">
        <f aca="false">IF(OR(L16="",F16=""),"",L16/F16)</f>
        <v/>
      </c>
      <c r="N16" s="4"/>
      <c r="O16" s="9" t="str">
        <f aca="false">IF(OR(L16="",N16=""),"",L16-N16)</f>
        <v/>
      </c>
      <c r="P16" s="13"/>
      <c r="Q16" s="9" t="str">
        <f aca="false">IF(OR(O16="",P16=""),"",O16*P16)</f>
        <v/>
      </c>
      <c r="R16" s="6"/>
      <c r="S16" s="6"/>
    </row>
    <row r="17" customFormat="false" ht="15" hidden="false" customHeight="false" outlineLevel="0" collapsed="false">
      <c r="A17" s="18"/>
      <c r="B17" s="18" t="s">
        <v>29</v>
      </c>
      <c r="C17" s="18"/>
      <c r="D17" s="18"/>
      <c r="E17" s="18"/>
      <c r="F17" s="12" t="n">
        <f aca="false">SUM(F7:F16)</f>
        <v>159680</v>
      </c>
      <c r="G17" s="12" t="n">
        <f aca="false">SUM(G7:G16)</f>
        <v>58000</v>
      </c>
      <c r="H17" s="18"/>
      <c r="I17" s="18"/>
      <c r="J17" s="18"/>
      <c r="K17" s="18"/>
      <c r="L17" s="12" t="n">
        <f aca="false">SUM(L7:L16)</f>
        <v>54091.2</v>
      </c>
      <c r="M17" s="18"/>
      <c r="N17" s="18"/>
      <c r="O17" s="12" t="n">
        <f aca="false">SUM(O7:O16)</f>
        <v>-3908.8</v>
      </c>
      <c r="P17" s="19" t="n">
        <f aca="false">SUM(P7:P16)</f>
        <v>100</v>
      </c>
      <c r="Q17" s="12" t="n">
        <f aca="false">SUM(Q7:Q16)</f>
        <v>-195440</v>
      </c>
      <c r="R17" s="18"/>
      <c r="S17" s="18"/>
    </row>
    <row r="19" customFormat="false" ht="15" hidden="false" customHeight="false" outlineLevel="0" collapsed="false">
      <c r="A19" s="3" t="s">
        <v>30</v>
      </c>
      <c r="B19" s="12" t="n">
        <f aca="false">SUMPRODUCT(F7:F16,P7:P16)</f>
        <v>7984000</v>
      </c>
    </row>
    <row r="20" customFormat="false" ht="15" hidden="false" customHeight="false" outlineLevel="0" collapsed="false">
      <c r="A20" s="3" t="s">
        <v>31</v>
      </c>
      <c r="B20" s="12" t="n">
        <f aca="false">SUMPRODUCT(N7:N16,P7:P16)</f>
        <v>2900000</v>
      </c>
    </row>
    <row r="21" customFormat="false" ht="15" hidden="false" customHeight="false" outlineLevel="0" collapsed="false">
      <c r="A21" s="3" t="s">
        <v>32</v>
      </c>
      <c r="B21" s="12" t="n">
        <f aca="false">Q17</f>
        <v>-195440</v>
      </c>
    </row>
    <row r="22" customFormat="false" ht="15" hidden="false" customHeight="false" outlineLevel="0" collapsed="false">
      <c r="A22" s="3" t="s">
        <v>33</v>
      </c>
      <c r="B22" s="20" t="n">
        <f aca="false">IF(B19=0,0,B21/B19)</f>
        <v>-0.0244789579158317</v>
      </c>
    </row>
    <row r="24" customFormat="false" ht="15" hidden="false" customHeight="false" outlineLevel="0" collapsed="false">
      <c r="A24" s="21" t="s">
        <v>34</v>
      </c>
    </row>
    <row r="25" customFormat="false" ht="15" hidden="false" customHeight="false" outlineLevel="0" collapsed="false">
      <c r="A25" s="2" t="s">
        <v>35</v>
      </c>
    </row>
    <row r="26" customFormat="false" ht="15" hidden="false" customHeight="false" outlineLevel="0" collapsed="false">
      <c r="A26" s="2" t="s">
        <v>36</v>
      </c>
    </row>
    <row r="27" customFormat="false" ht="15" hidden="false" customHeight="false" outlineLevel="0" collapsed="false">
      <c r="A27" s="2" t="s">
        <v>37</v>
      </c>
    </row>
    <row r="28" customFormat="false" ht="15" hidden="false" customHeight="false" outlineLevel="0" collapsed="false">
      <c r="A28" s="2" t="s">
        <v>38</v>
      </c>
    </row>
  </sheetData>
  <hyperlinks>
    <hyperlink ref="S7" r:id="rId1" display="https://shopify.pagepilot.ai/preview/1a1826c9-2e3e-43ed-b838-e6f7830cd343"/>
    <hyperlink ref="S8" r:id="rId2" display="https://shopify.pagepilot.ai/preview/bb1fc215-86c8-42ae-a1da-74a783184403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0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7" min="7" style="0" width="90"/>
  </cols>
  <sheetData>
    <row r="1" customFormat="false" ht="17.35" hidden="false" customHeight="false" outlineLevel="0" collapsed="false">
      <c r="A1" s="22" t="s">
        <v>39</v>
      </c>
    </row>
    <row r="3" customFormat="false" ht="48" hidden="false" customHeight="true" outlineLevel="0" collapsed="false">
      <c r="A3" s="5" t="s">
        <v>40</v>
      </c>
      <c r="B3" s="5" t="s">
        <v>41</v>
      </c>
      <c r="C3" s="5" t="s">
        <v>42</v>
      </c>
      <c r="D3" s="5" t="s">
        <v>43</v>
      </c>
      <c r="E3" s="5" t="s">
        <v>44</v>
      </c>
      <c r="F3" s="5" t="s">
        <v>45</v>
      </c>
      <c r="G3" s="5" t="s">
        <v>46</v>
      </c>
    </row>
    <row r="4" customFormat="false" ht="23.85" hidden="false" customHeight="false" outlineLevel="0" collapsed="false">
      <c r="A4" s="6" t="s">
        <v>47</v>
      </c>
      <c r="B4" s="6" t="s">
        <v>48</v>
      </c>
      <c r="C4" s="6" t="s">
        <v>49</v>
      </c>
      <c r="D4" s="6"/>
      <c r="E4" s="8" t="n">
        <v>24.95</v>
      </c>
      <c r="F4" s="8" t="n">
        <v>31.19</v>
      </c>
      <c r="G4" s="7" t="s">
        <v>50</v>
      </c>
    </row>
    <row r="5" customFormat="false" ht="23.85" hidden="false" customHeight="false" outlineLevel="0" collapsed="false">
      <c r="A5" s="6" t="s">
        <v>47</v>
      </c>
      <c r="B5" s="6" t="s">
        <v>48</v>
      </c>
      <c r="C5" s="6" t="s">
        <v>51</v>
      </c>
      <c r="D5" s="6"/>
      <c r="E5" s="8" t="n">
        <v>24.95</v>
      </c>
      <c r="F5" s="8" t="n">
        <v>31.19</v>
      </c>
      <c r="G5" s="7" t="s">
        <v>52</v>
      </c>
    </row>
    <row r="6" customFormat="false" ht="15" hidden="false" customHeight="false" outlineLevel="0" collapsed="false">
      <c r="A6" s="6" t="s">
        <v>53</v>
      </c>
      <c r="B6" s="6" t="s">
        <v>48</v>
      </c>
      <c r="C6" s="6" t="s">
        <v>49</v>
      </c>
      <c r="D6" s="6"/>
      <c r="E6" s="8" t="n">
        <v>24.95</v>
      </c>
      <c r="F6" s="8" t="n">
        <v>31.19</v>
      </c>
      <c r="G6" s="7" t="s">
        <v>54</v>
      </c>
    </row>
    <row r="7" customFormat="false" ht="15" hidden="false" customHeight="false" outlineLevel="0" collapsed="false">
      <c r="A7" s="6" t="s">
        <v>53</v>
      </c>
      <c r="B7" s="6" t="s">
        <v>48</v>
      </c>
      <c r="C7" s="6" t="s">
        <v>51</v>
      </c>
      <c r="D7" s="6"/>
      <c r="E7" s="8" t="n">
        <v>24.95</v>
      </c>
      <c r="F7" s="8" t="n">
        <v>31.19</v>
      </c>
      <c r="G7" s="7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2026-10-13T05:45:57Z</dcterms:created>
  <dc:creator>openpyxl</dc:creator>
  <dc:description/>
  <dc:language>en-US</dc:language>
  <cp:lastModifiedBy/>
  <dcterms:modified xsi:type="dcterms:W3CDTF">2026-10-13T05:45:57Z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