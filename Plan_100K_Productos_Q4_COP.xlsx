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os" sheetId="1" state="visible" r:id="rId3"/>
    <sheet name="Plan_100K" sheetId="2" state="visible" r:id="rId4"/>
    <sheet name="Promociones_Q4" sheetId="3" state="visible" r:id="rId5"/>
    <sheet name="Como_valid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<sst xmlns="http://schemas.openxmlformats.org/spreadsheetml/2006/main" count="175" uniqueCount="155">
  <si>
    <t xml:space="preserve">Productos candidatos Q4 2026 - en pesos colombianos (COP)</t>
  </si>
  <si>
    <t xml:space="preserve">Costos y precios son SUPUESTOS míos basados en rangos de Dropi Colombia. Cámbialos (amarillo) por los de tu catálogo Dropi.</t>
  </si>
  <si>
    <t xml:space="preserve">No pude ver tu catálogo Dropi: reemplaza costo, flete y precio por los reales antes de decidir.</t>
  </si>
  <si>
    <t xml:space="preserve">#</t>
  </si>
  <si>
    <t xml:space="preserve">Producto (tipo a buscar en Dropi)</t>
  </si>
  <si>
    <t xml:space="preserve">Categoría</t>
  </si>
  <si>
    <t xml:space="preserve">Tipo</t>
  </si>
  <si>
    <t xml:space="preserve">Por qué en Q4</t>
  </si>
  <si>
    <t xml:space="preserve">Costo Dropi (COP)</t>
  </si>
  <si>
    <t xml:space="preserve">Flete ida (COP)</t>
  </si>
  <si>
    <t xml:space="preserve">Precio de venta (COP)</t>
  </si>
  <si>
    <t xml:space="preserve">Comisión de recaudo contra entrega %</t>
  </si>
  <si>
    <t xml:space="preserve">% devolución / no entrega</t>
  </si>
  <si>
    <t xml:space="preserve">Costo por devolución (COP) (flete ida + vuelta)</t>
  </si>
  <si>
    <t xml:space="preserve">Utilidad antes de publicidad</t>
  </si>
  <si>
    <t xml:space="preserve">Margen %</t>
  </si>
  <si>
    <t xml:space="preserve">CPA máximo</t>
  </si>
  <si>
    <t xml:space="preserve">ROAS mínimo</t>
  </si>
  <si>
    <t xml:space="preserve">CPA base esperado (COP)</t>
  </si>
  <si>
    <t xml:space="preserve">CPA Q4 (con alza)</t>
  </si>
  <si>
    <t xml:space="preserve">Utilidad neta por venta</t>
  </si>
  <si>
    <t xml:space="preserve">Margen neto %</t>
  </si>
  <si>
    <t xml:space="preserve">Veredicto</t>
  </si>
  <si>
    <t xml:space="preserve">¿Resuelve un problema diario?</t>
  </si>
  <si>
    <t xml:space="preserve">Proyector de galaxia / estrellas LED</t>
  </si>
  <si>
    <t xml:space="preserve">Hogar / regalo</t>
  </si>
  <si>
    <t xml:space="preserve">Viral</t>
  </si>
  <si>
    <t xml:space="preserve">Regalo visual, muy grabable en TikTok</t>
  </si>
  <si>
    <t xml:space="preserve">No (decoración)</t>
  </si>
  <si>
    <t xml:space="preserve">Masajeador de cuello / espalda (EMS)</t>
  </si>
  <si>
    <t xml:space="preserve">Salud y bienestar</t>
  </si>
  <si>
    <t xml:space="preserve">Dolor de cuello por computador y celular; regalo</t>
  </si>
  <si>
    <t xml:space="preserve">Sí</t>
  </si>
  <si>
    <t xml:space="preserve">Audífonos Bluetooth (TWS)</t>
  </si>
  <si>
    <t xml:space="preserve">Tecnología</t>
  </si>
  <si>
    <t xml:space="preserve">Evergreen</t>
  </si>
  <si>
    <t xml:space="preserve">Regalo muy buscado en Black Friday; muy competido</t>
  </si>
  <si>
    <t xml:space="preserve">Sí (pero margen mínimo)</t>
  </si>
  <si>
    <t xml:space="preserve">Kit facial gua sha + rodillo + limpiador</t>
  </si>
  <si>
    <t xml:space="preserve">Belleza</t>
  </si>
  <si>
    <t xml:space="preserve">Cuidado personal como regalo</t>
  </si>
  <si>
    <t xml:space="preserve">Parcial</t>
  </si>
  <si>
    <t xml:space="preserve">Cepillo quitapelos autolimpiante mascotas</t>
  </si>
  <si>
    <t xml:space="preserve">Mascotas</t>
  </si>
  <si>
    <t xml:space="preserve">Pelo en ropa y muebles; fácil de demostrar en video</t>
  </si>
  <si>
    <t xml:space="preserve">SUPUESTOS Y FUENTES (Dropi Colombia):</t>
  </si>
  <si>
    <t xml:space="preserve">- Flete $15,000: la guía de Andrey Business (afiliado de Dropi) lista fletes contra entrega de $12,100 urbano, $13,800 regional y $15,700 nacional; varía con la transportadora y puede ser el doble en pueblos pequeños. Verifica en el simulador de tu panel Dropi.</t>
  </si>
  <si>
    <t xml:space="preserve">- Comisión de recaudo 3.5%: dos fuentes difieren (3.5% o 2-3%). Confírmalo con Dropi.</t>
  </si>
  <si>
    <t xml:space="preserve">- Devolución: si el pedido regresa pierdes el flete de ida y de vuelta (por eso $30,000). El 20% de devoluciones es supuesto mío: usa tu tasa real.</t>
  </si>
  <si>
    <t xml:space="preserve">- CPA = costo por venta en anuncios. Alza de 60% en Q4 (Plan_100K!B5): el blog Copyfy habla de 40-80% en noviembre.</t>
  </si>
  <si>
    <t xml:space="preserve">- Precios de producto, de venta y CPA base: estimaciones mías, no datos de Dropi.</t>
  </si>
  <si>
    <t xml:space="preserve">Plan para llegar a la meta de ventas (en COP)</t>
  </si>
  <si>
    <t xml:space="preserve">Cuánto gastarías en producto, fletes, comisiones, devoluciones y publicidad para vender la meta en Q4.</t>
  </si>
  <si>
    <t xml:space="preserve">Meta de ventas (USD)</t>
  </si>
  <si>
    <t xml:space="preserve">Tu objetivo en dólares</t>
  </si>
  <si>
    <t xml:space="preserve">Alza del costo de publicidad en Q4 %</t>
  </si>
  <si>
    <t xml:space="preserve">Supuesto: entre 40% y 80% (blog Copyfy)</t>
  </si>
  <si>
    <t xml:space="preserve">Otros costos fijos totales (apps, dominio, herramientas) COP</t>
  </si>
  <si>
    <t xml:space="preserve">Supuesto mío, ~$650,000 al mes</t>
  </si>
  <si>
    <t xml:space="preserve">Fecha de inicio</t>
  </si>
  <si>
    <t xml:space="preserve">Hoy</t>
  </si>
  <si>
    <t xml:space="preserve">Fecha límite de la meta</t>
  </si>
  <si>
    <t xml:space="preserve">Fin de año</t>
  </si>
  <si>
    <t xml:space="preserve">Tasa de cambio TRM (COP por USD)</t>
  </si>
  <si>
    <t xml:space="preserve">TRM del 7 oct 2026: $3,216 (Portafolio). Actualiza con la del día.</t>
  </si>
  <si>
    <t xml:space="preserve">META DE VENTAS EN PESOS (COP)</t>
  </si>
  <si>
    <t xml:space="preserve">Meta en USD x TRM</t>
  </si>
  <si>
    <t xml:space="preserve">Producto</t>
  </si>
  <si>
    <t xml:space="preserve">% de la meta (mezcla de ventas)</t>
  </si>
  <si>
    <t xml:space="preserve">Ingresos meta (COP)</t>
  </si>
  <si>
    <t xml:space="preserve">Precio venta</t>
  </si>
  <si>
    <t xml:space="preserve">Unidades a vender</t>
  </si>
  <si>
    <t xml:space="preserve">Costo de producto</t>
  </si>
  <si>
    <t xml:space="preserve">Fletes</t>
  </si>
  <si>
    <t xml:space="preserve">Comisión de recaudo</t>
  </si>
  <si>
    <t xml:space="preserve">Devoluciones</t>
  </si>
  <si>
    <t xml:space="preserve">Publicidad (CPA Q4)</t>
  </si>
  <si>
    <t xml:space="preserve">Utilidad neta</t>
  </si>
  <si>
    <t xml:space="preserve">TOTAL</t>
  </si>
  <si>
    <t xml:space="preserve">Revisa que la mezcla sume 100%.</t>
  </si>
  <si>
    <t xml:space="preserve">RESULTADO FINAL</t>
  </si>
  <si>
    <t xml:space="preserve">Utilidad neta antes de costos fijos</t>
  </si>
  <si>
    <t xml:space="preserve">Menos: otros costos fijos</t>
  </si>
  <si>
    <t xml:space="preserve">UTILIDAD FINAL ESTIMADA (COP)</t>
  </si>
  <si>
    <t xml:space="preserve">Costos totales (producto+flete+comisión+devol.+publicidad+fijos)</t>
  </si>
  <si>
    <t xml:space="preserve">ROAS global necesario (ventas / publicidad)</t>
  </si>
  <si>
    <t xml:space="preserve">RITMO NECESARIO</t>
  </si>
  <si>
    <t xml:space="preserve">Días disponibles</t>
  </si>
  <si>
    <t xml:space="preserve">Ventas por día (COP)</t>
  </si>
  <si>
    <t xml:space="preserve">Pedidos por día</t>
  </si>
  <si>
    <t xml:space="preserve">Publicidad por día (COP)</t>
  </si>
  <si>
    <t xml:space="preserve">CAPITAL QUE ADELANTAS</t>
  </si>
  <si>
    <t xml:space="preserve">Publicidad total (lo que pagas antes de cobrar)</t>
  </si>
  <si>
    <t xml:space="preserve">Nota: en Dropi contra entrega normalmente no pagas el producto por adelantado; se descuenta de tu ganancia al entregarse. Confírmalo en tu cuenta Dropi.</t>
  </si>
  <si>
    <t xml:space="preserve">Promociones mes por mes - último trimestre (COP)</t>
  </si>
  <si>
    <t xml:space="preserve">Cada promo calcula si todavía te deja ganancia después de pagar publicidad. En 'Producto' escribe el número 1 a 5 de la hoja Candidatos.</t>
  </si>
  <si>
    <t xml:space="preserve">Fecha</t>
  </si>
  <si>
    <t xml:space="preserve">Mes</t>
  </si>
  <si>
    <t xml:space="preserve">Evento</t>
  </si>
  <si>
    <t xml:space="preserve">Promoción sugerida</t>
  </si>
  <si>
    <t xml:space="preserve">Producto (1-5)</t>
  </si>
  <si>
    <t xml:space="preserve">Descuento %</t>
  </si>
  <si>
    <t xml:space="preserve">Precio con promo</t>
  </si>
  <si>
    <t xml:space="preserve">CPA Q4 del producto</t>
  </si>
  <si>
    <t xml:space="preserve">¿Conviene?</t>
  </si>
  <si>
    <t xml:space="preserve">Octubre</t>
  </si>
  <si>
    <t xml:space="preserve">Halloween</t>
  </si>
  <si>
    <t xml:space="preserve">Envío gratis en el primer pedido (sin bajar el precio)</t>
  </si>
  <si>
    <t xml:space="preserve">Noviembre</t>
  </si>
  <si>
    <t xml:space="preserve">Día de los Solteros (11.11)</t>
  </si>
  <si>
    <t xml:space="preserve">Descuento de 1 día con cuenta regresiva</t>
  </si>
  <si>
    <t xml:space="preserve">Pre-Black Friday</t>
  </si>
  <si>
    <t xml:space="preserve">Lista VIP por WhatsApp: acceso anticipado + regalo</t>
  </si>
  <si>
    <t xml:space="preserve">Black Friday</t>
  </si>
  <si>
    <t xml:space="preserve">Oferta relámpago 24 h + regalo sorpresa (no bajes de 10%)</t>
  </si>
  <si>
    <t xml:space="preserve">Cyber Monday</t>
  </si>
  <si>
    <t xml:space="preserve">Última oportunidad: misma oferta con envío garantizado</t>
  </si>
  <si>
    <t xml:space="preserve">Diciembre</t>
  </si>
  <si>
    <t xml:space="preserve">Green Monday</t>
  </si>
  <si>
    <t xml:space="preserve">Regalo doble (producto + accesorio barato)</t>
  </si>
  <si>
    <t xml:space="preserve">Último día de entrega navideña</t>
  </si>
  <si>
    <t xml:space="preserve">Urgencia: 'pídelo hoy y llega antes de Navidad'</t>
  </si>
  <si>
    <t xml:space="preserve">Post-Navidad / Año Nuevo</t>
  </si>
  <si>
    <t xml:space="preserve">Propósitos de año nuevo: casa limpia y cuidado personal</t>
  </si>
  <si>
    <t xml:space="preserve">Black Friday (27 nov) y Cyber Monday (30 nov) 2026: fechas del blog Copyfy; confirma el calendario en Colombia.</t>
  </si>
  <si>
    <t xml:space="preserve">COMBOS (la forma más segura de subir la ganancia por pedido)</t>
  </si>
  <si>
    <t xml:space="preserve">Unidades en el combo</t>
  </si>
  <si>
    <t xml:space="preserve">Precio del combo</t>
  </si>
  <si>
    <t xml:space="preserve">Costo producto</t>
  </si>
  <si>
    <t xml:space="preserve">Flete del combo</t>
  </si>
  <si>
    <t xml:space="preserve">Comisión recaudo</t>
  </si>
  <si>
    <t xml:space="preserve">Devoluciones esperadas</t>
  </si>
  <si>
    <t xml:space="preserve">CPA Q4</t>
  </si>
  <si>
    <t xml:space="preserve">Flete del combo ($18,000-19,000) es supuesto mío: un pedido de 2 unidades suele costar más que uno de 1. Confírmalo con el simulador de Dropi.</t>
  </si>
  <si>
    <t xml:space="preserve">Cómo validar cada producto y llegar a la meta</t>
  </si>
  <si>
    <t xml:space="preserve">Antes de gastar en anuncios, que el producto pase estas pruebas.</t>
  </si>
  <si>
    <t xml:space="preserve">PRUEBAS ANTES DE COMPRAR PUBLICIDAD</t>
  </si>
  <si>
    <t xml:space="preserve">1. Stock en Dropi</t>
  </si>
  <si>
    <t xml:space="preserve">Que tenga stock suficiente y varios proveedores.</t>
  </si>
  <si>
    <t xml:space="preserve">2. Tasa de entrega</t>
  </si>
  <si>
    <t xml:space="preserve">Pregunta a Dropi por la tasa de entrega por ciudad. Si es menor a 75%, sube el % de devolución en Candidatos.</t>
  </si>
  <si>
    <t xml:space="preserve">3. Flete real</t>
  </si>
  <si>
    <t xml:space="preserve">Usa el simulador de fletes de tu panel Dropi con tus ciudades más comunes y pon ese valor en la columna Flete.</t>
  </si>
  <si>
    <t xml:space="preserve">4. Competencia</t>
  </si>
  <si>
    <t xml:space="preserve">Revisa la Biblioteca de Anuncios de Meta y el Creative Center de TikTok: mucha gente anunciando hace meses = funciona pero está saturado.</t>
  </si>
  <si>
    <t xml:space="preserve">5. Margen</t>
  </si>
  <si>
    <t xml:space="preserve">La hoja Candidatos debe decir 'SÍ' con tus costos reales. Si dice 'NO', descártalo aunque sea viral.</t>
  </si>
  <si>
    <t xml:space="preserve">6. Prueba pequeña</t>
  </si>
  <si>
    <t xml:space="preserve">Gasta 2 a 3 veces tu CPA máximo por producto y escala solo los de buen ROAS.</t>
  </si>
  <si>
    <t xml:space="preserve">MES POR MES</t>
  </si>
  <si>
    <t xml:space="preserve">Valida los productos con pruebas pequeñas, crea páginas y videos, y arma la lista de WhatsApp.</t>
  </si>
  <si>
    <t xml:space="preserve">11.11, pre-Black Friday, Black Friday y Cyber Monday: usa combos y regalos antes que descuentos grandes.</t>
  </si>
  <si>
    <t xml:space="preserve">Regalos y urgencia de entrega hasta el 18-20 dic. Después detén productos que no lleguen a tiempo.</t>
  </si>
  <si>
    <t xml:space="preserve">AVISO</t>
  </si>
  <si>
    <t xml:space="preserve">El plan calcula lo que necesitarías para la meta, no la garantiza. Con estos supuestos el margen es bajo.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</si>
</sst>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"/>
    <numFmt numFmtId="167" formatCode="0.0%;\(0.0%\);\-"/>
    <numFmt numFmtId="168" formatCode="0.00\x"/>
    <numFmt numFmtId="169" formatCode="\$#,##0"/>
    <numFmt numFmtId="170" formatCode="0%"/>
    <numFmt numFmtId="171" formatCode="dd/mm/yyyy"/>
    <numFmt numFmtId="172" formatCode="#,##0"/>
    <numFmt numFmtId="173" formatCode="0"/>
    <numFmt numFmtId="174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1" min="20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</row>
    <row r="6" customFormat="false" ht="43.5" hidden="false" customHeight="true" outlineLevel="0" collapsed="false">
      <c r="A6" s="5" t="n">
        <v>1</v>
      </c>
      <c r="B6" s="6" t="s">
        <v>24</v>
      </c>
      <c r="C6" s="6" t="s">
        <v>25</v>
      </c>
      <c r="D6" s="6" t="s">
        <v>26</v>
      </c>
      <c r="E6" s="6" t="s">
        <v>27</v>
      </c>
      <c r="F6" s="7" t="n">
        <v>29000</v>
      </c>
      <c r="G6" s="7" t="n">
        <v>15000</v>
      </c>
      <c r="H6" s="7" t="n">
        <v>109900</v>
      </c>
      <c r="I6" s="8" t="n">
        <v>0.035</v>
      </c>
      <c r="J6" s="8" t="n">
        <v>0.2</v>
      </c>
      <c r="K6" s="7" t="n">
        <v>30000</v>
      </c>
      <c r="L6" s="9" t="n">
        <f aca="false">H6-F6-G6-H6*I6-J6*K6</f>
        <v>56053.5</v>
      </c>
      <c r="M6" s="10" t="n">
        <f aca="false">IF(H6=0,0,L6/H6)</f>
        <v>0.510040946314832</v>
      </c>
      <c r="N6" s="9" t="n">
        <f aca="false">MAX(L6,0)</f>
        <v>56053.5</v>
      </c>
      <c r="O6" s="11" t="n">
        <f aca="false">IF(L6&lt;=0,"Sin margen",H6/L6)</f>
        <v>1.96062690108557</v>
      </c>
      <c r="P6" s="7" t="n">
        <v>29000</v>
      </c>
      <c r="Q6" s="9" t="n">
        <f aca="false">P6*(1+Plan_100K!$B$5)</f>
        <v>46400</v>
      </c>
      <c r="R6" s="12" t="n">
        <f aca="false">L6-Q6</f>
        <v>9653.5</v>
      </c>
      <c r="S6" s="10" t="n">
        <f aca="false">IF(H6=0,0,R6/H6)</f>
        <v>0.0878389444949955</v>
      </c>
      <c r="T6" s="13" t="str">
        <f aca="false">IF(R6&lt;=0,"NO: pierde dinero",IF(S6&gt;=0.15,"SÍ: probar con fuerza","Probar con cuidado"))</f>
        <v>Probar con cuidado</v>
      </c>
      <c r="U6" s="6" t="s">
        <v>28</v>
      </c>
    </row>
    <row r="7" customFormat="false" ht="43.5" hidden="false" customHeight="true" outlineLevel="0" collapsed="false">
      <c r="A7" s="5" t="n">
        <v>2</v>
      </c>
      <c r="B7" s="6" t="s">
        <v>29</v>
      </c>
      <c r="C7" s="6" t="s">
        <v>30</v>
      </c>
      <c r="D7" s="6" t="s">
        <v>26</v>
      </c>
      <c r="E7" s="6" t="s">
        <v>31</v>
      </c>
      <c r="F7" s="7" t="n">
        <v>35000</v>
      </c>
      <c r="G7" s="7" t="n">
        <v>15000</v>
      </c>
      <c r="H7" s="7" t="n">
        <v>129900</v>
      </c>
      <c r="I7" s="8" t="n">
        <v>0.035</v>
      </c>
      <c r="J7" s="8" t="n">
        <v>0.2</v>
      </c>
      <c r="K7" s="7" t="n">
        <v>30000</v>
      </c>
      <c r="L7" s="9" t="n">
        <f aca="false">H7-F7-G7-H7*I7-J7*K7</f>
        <v>69353.5</v>
      </c>
      <c r="M7" s="10" t="n">
        <f aca="false">IF(H7=0,0,L7/H7)</f>
        <v>0.533899153194765</v>
      </c>
      <c r="N7" s="9" t="n">
        <f aca="false">MAX(L7,0)</f>
        <v>69353.5</v>
      </c>
      <c r="O7" s="11" t="n">
        <f aca="false">IF(L7&lt;=0,"Sin margen",H7/L7)</f>
        <v>1.87301289769082</v>
      </c>
      <c r="P7" s="7" t="n">
        <v>35000</v>
      </c>
      <c r="Q7" s="9" t="n">
        <f aca="false">P7*(1+Plan_100K!$B$5)</f>
        <v>56000</v>
      </c>
      <c r="R7" s="12" t="n">
        <f aca="false">L7-Q7</f>
        <v>13353.5</v>
      </c>
      <c r="S7" s="10" t="n">
        <f aca="false">IF(H7=0,0,R7/H7)</f>
        <v>0.10279830638953</v>
      </c>
      <c r="T7" s="13" t="str">
        <f aca="false">IF(R7&lt;=0,"NO: pierde dinero",IF(S7&gt;=0.15,"SÍ: probar con fuerza","Probar con cuidado"))</f>
        <v>Probar con cuidado</v>
      </c>
      <c r="U7" s="6" t="s">
        <v>32</v>
      </c>
    </row>
    <row r="8" customFormat="false" ht="43.5" hidden="false" customHeight="true" outlineLevel="0" collapsed="false">
      <c r="A8" s="5" t="n">
        <v>3</v>
      </c>
      <c r="B8" s="6" t="s">
        <v>33</v>
      </c>
      <c r="C8" s="6" t="s">
        <v>34</v>
      </c>
      <c r="D8" s="6" t="s">
        <v>35</v>
      </c>
      <c r="E8" s="6" t="s">
        <v>36</v>
      </c>
      <c r="F8" s="7" t="n">
        <v>26000</v>
      </c>
      <c r="G8" s="7" t="n">
        <v>15000</v>
      </c>
      <c r="H8" s="7" t="n">
        <v>94900</v>
      </c>
      <c r="I8" s="8" t="n">
        <v>0.035</v>
      </c>
      <c r="J8" s="8" t="n">
        <v>0.2</v>
      </c>
      <c r="K8" s="7" t="n">
        <v>30000</v>
      </c>
      <c r="L8" s="9" t="n">
        <f aca="false">H8-F8-G8-H8*I8-J8*K8</f>
        <v>44578.5</v>
      </c>
      <c r="M8" s="10" t="n">
        <f aca="false">IF(H8=0,0,L8/H8)</f>
        <v>0.469741833508957</v>
      </c>
      <c r="N8" s="9" t="n">
        <f aca="false">MAX(L8,0)</f>
        <v>44578.5</v>
      </c>
      <c r="O8" s="11" t="n">
        <f aca="false">IF(L8&lt;=0,"Sin margen",H8/L8)</f>
        <v>2.12882891977074</v>
      </c>
      <c r="P8" s="7" t="n">
        <v>32000</v>
      </c>
      <c r="Q8" s="9" t="n">
        <f aca="false">P8*(1+Plan_100K!$B$5)</f>
        <v>51200</v>
      </c>
      <c r="R8" s="12" t="n">
        <f aca="false">L8-Q8</f>
        <v>-6621.5</v>
      </c>
      <c r="S8" s="10" t="n">
        <f aca="false">IF(H8=0,0,R8/H8)</f>
        <v>-0.0697734457323498</v>
      </c>
      <c r="T8" s="13" t="str">
        <f aca="false">IF(R8&lt;=0,"NO: pierde dinero",IF(S8&gt;=0.15,"SÍ: probar con fuerza","Probar con cuidado"))</f>
        <v>NO: pierde dinero</v>
      </c>
      <c r="U8" s="6" t="s">
        <v>37</v>
      </c>
    </row>
    <row r="9" customFormat="false" ht="43.5" hidden="false" customHeight="true" outlineLevel="0" collapsed="false">
      <c r="A9" s="5" t="n">
        <v>4</v>
      </c>
      <c r="B9" s="6" t="s">
        <v>38</v>
      </c>
      <c r="C9" s="6" t="s">
        <v>39</v>
      </c>
      <c r="D9" s="6" t="s">
        <v>26</v>
      </c>
      <c r="E9" s="6" t="s">
        <v>40</v>
      </c>
      <c r="F9" s="7" t="n">
        <v>16000</v>
      </c>
      <c r="G9" s="7" t="n">
        <v>15000</v>
      </c>
      <c r="H9" s="7" t="n">
        <v>79900</v>
      </c>
      <c r="I9" s="8" t="n">
        <v>0.035</v>
      </c>
      <c r="J9" s="8" t="n">
        <v>0.2</v>
      </c>
      <c r="K9" s="7" t="n">
        <v>30000</v>
      </c>
      <c r="L9" s="9" t="n">
        <f aca="false">H9-F9-G9-H9*I9-J9*K9</f>
        <v>40103.5</v>
      </c>
      <c r="M9" s="10" t="n">
        <f aca="false">IF(H9=0,0,L9/H9)</f>
        <v>0.501921151439299</v>
      </c>
      <c r="N9" s="9" t="n">
        <f aca="false">MAX(L9,0)</f>
        <v>40103.5</v>
      </c>
      <c r="O9" s="11" t="n">
        <f aca="false">IF(L9&lt;=0,"Sin margen",H9/L9)</f>
        <v>1.99234480780979</v>
      </c>
      <c r="P9" s="7" t="n">
        <v>22000</v>
      </c>
      <c r="Q9" s="9" t="n">
        <f aca="false">P9*(1+Plan_100K!$B$5)</f>
        <v>35200</v>
      </c>
      <c r="R9" s="12" t="n">
        <f aca="false">L9-Q9</f>
        <v>4903.5</v>
      </c>
      <c r="S9" s="10" t="n">
        <f aca="false">IF(H9=0,0,R9/H9)</f>
        <v>0.0613704630788486</v>
      </c>
      <c r="T9" s="13" t="str">
        <f aca="false">IF(R9&lt;=0,"NO: pierde dinero",IF(S9&gt;=0.15,"SÍ: probar con fuerza","Probar con cuidado"))</f>
        <v>Probar con cuidado</v>
      </c>
      <c r="U9" s="6" t="s">
        <v>41</v>
      </c>
    </row>
    <row r="10" customFormat="false" ht="43.5" hidden="false" customHeight="true" outlineLevel="0" collapsed="false">
      <c r="A10" s="5" t="n">
        <v>5</v>
      </c>
      <c r="B10" s="6" t="s">
        <v>42</v>
      </c>
      <c r="C10" s="6" t="s">
        <v>43</v>
      </c>
      <c r="D10" s="6" t="s">
        <v>35</v>
      </c>
      <c r="E10" s="6" t="s">
        <v>44</v>
      </c>
      <c r="F10" s="7" t="n">
        <v>11000</v>
      </c>
      <c r="G10" s="7" t="n">
        <v>15000</v>
      </c>
      <c r="H10" s="7" t="n">
        <v>64900</v>
      </c>
      <c r="I10" s="8" t="n">
        <v>0.035</v>
      </c>
      <c r="J10" s="8" t="n">
        <v>0.2</v>
      </c>
      <c r="K10" s="7" t="n">
        <v>30000</v>
      </c>
      <c r="L10" s="9" t="n">
        <f aca="false">H10-F10-G10-H10*I10-J10*K10</f>
        <v>30628.5</v>
      </c>
      <c r="M10" s="10" t="n">
        <f aca="false">IF(H10=0,0,L10/H10)</f>
        <v>0.47193374422188</v>
      </c>
      <c r="N10" s="9" t="n">
        <f aca="false">MAX(L10,0)</f>
        <v>30628.5</v>
      </c>
      <c r="O10" s="11" t="n">
        <f aca="false">IF(L10&lt;=0,"Sin margen",H10/L10)</f>
        <v>2.11894150872553</v>
      </c>
      <c r="P10" s="7" t="n">
        <v>19000</v>
      </c>
      <c r="Q10" s="9" t="n">
        <f aca="false">P10*(1+Plan_100K!$B$5)</f>
        <v>30400</v>
      </c>
      <c r="R10" s="12" t="n">
        <f aca="false">L10-Q10</f>
        <v>228.5</v>
      </c>
      <c r="S10" s="10" t="n">
        <f aca="false">IF(H10=0,0,R10/H10)</f>
        <v>0.00352080123266564</v>
      </c>
      <c r="T10" s="13" t="str">
        <f aca="false">IF(R10&lt;=0,"NO: pierde dinero",IF(S10&gt;=0.15,"SÍ: probar con fuerza","Probar con cuidado"))</f>
        <v>Probar con cuidado</v>
      </c>
      <c r="U10" s="6" t="s">
        <v>32</v>
      </c>
    </row>
    <row r="12" customFormat="false" ht="15" hidden="false" customHeight="false" outlineLevel="0" collapsed="false">
      <c r="A12" s="14" t="s">
        <v>45</v>
      </c>
    </row>
    <row r="13" customFormat="false" ht="15" hidden="false" customHeight="false" outlineLevel="0" collapsed="false">
      <c r="A13" s="2" t="s">
        <v>46</v>
      </c>
    </row>
    <row r="14" customFormat="false" ht="15" hidden="false" customHeight="false" outlineLevel="0" collapsed="false">
      <c r="A14" s="2" t="s">
        <v>47</v>
      </c>
    </row>
    <row r="15" customFormat="false" ht="15" hidden="false" customHeight="false" outlineLevel="0" collapsed="false">
      <c r="A15" s="2" t="s">
        <v>48</v>
      </c>
    </row>
    <row r="16" customFormat="false" ht="15" hidden="false" customHeight="false" outlineLevel="0" collapsed="false">
      <c r="A16" s="2" t="s">
        <v>49</v>
      </c>
    </row>
    <row r="17" customFormat="false" ht="15" hidden="false" customHeight="false" outlineLevel="0" collapsed="false">
      <c r="A17" s="2" t="s">
        <v>50</v>
      </c>
    </row>
  </sheetData>
  <conditionalFormatting sqref="T6:T10">
    <cfRule type="expression" priority="2" aboveAverage="0" equalAverage="0" bottom="0" percent="0" rank="0" text="" dxfId="0">
      <formula>LEFT(T6,2)="SÍ"</formula>
    </cfRule>
    <cfRule type="expression" priority="3" aboveAverage="0" equalAverage="0" bottom="0" percent="0" rank="0" text="" dxfId="1">
      <formula>LEFT(T6,2)="NO"</formula>
    </cfRule>
    <cfRule type="expression" priority="4" aboveAverage="0" equalAverage="0" bottom="0" percent="0" rank="0" text="" dxfId="2">
      <formula>LEFT(T6,5)="Probar"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15" t="s">
        <v>53</v>
      </c>
      <c r="B4" s="16" t="n">
        <v>100000</v>
      </c>
      <c r="C4" s="2" t="s">
        <v>54</v>
      </c>
    </row>
    <row r="5" customFormat="false" ht="15" hidden="false" customHeight="false" outlineLevel="0" collapsed="false">
      <c r="A5" s="15" t="s">
        <v>55</v>
      </c>
      <c r="B5" s="17" t="n">
        <v>0.6</v>
      </c>
      <c r="C5" s="2" t="s">
        <v>56</v>
      </c>
    </row>
    <row r="6" customFormat="false" ht="15" hidden="false" customHeight="false" outlineLevel="0" collapsed="false">
      <c r="A6" s="15" t="s">
        <v>57</v>
      </c>
      <c r="B6" s="7" t="n">
        <v>2000000</v>
      </c>
      <c r="C6" s="2" t="s">
        <v>58</v>
      </c>
    </row>
    <row r="7" customFormat="false" ht="15" hidden="false" customHeight="false" outlineLevel="0" collapsed="false">
      <c r="A7" s="15" t="s">
        <v>59</v>
      </c>
      <c r="B7" s="18" t="n">
        <v>46307</v>
      </c>
      <c r="C7" s="2" t="s">
        <v>60</v>
      </c>
    </row>
    <row r="8" customFormat="false" ht="15" hidden="false" customHeight="false" outlineLevel="0" collapsed="false">
      <c r="A8" s="15" t="s">
        <v>61</v>
      </c>
      <c r="B8" s="18" t="n">
        <v>46387</v>
      </c>
      <c r="C8" s="2" t="s">
        <v>62</v>
      </c>
    </row>
    <row r="9" customFormat="false" ht="15" hidden="false" customHeight="false" outlineLevel="0" collapsed="false">
      <c r="A9" s="15" t="s">
        <v>63</v>
      </c>
      <c r="B9" s="7" t="n">
        <v>3200</v>
      </c>
      <c r="C9" s="2" t="s">
        <v>64</v>
      </c>
    </row>
    <row r="10" customFormat="false" ht="15" hidden="false" customHeight="false" outlineLevel="0" collapsed="false">
      <c r="A10" s="15" t="s">
        <v>65</v>
      </c>
      <c r="B10" s="9" t="n">
        <f aca="false">B4*B9</f>
        <v>320000000</v>
      </c>
      <c r="C10" s="2" t="s">
        <v>66</v>
      </c>
    </row>
    <row r="12" customFormat="false" ht="45.75" hidden="false" customHeight="true" outlineLevel="0" collapsed="false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75</v>
      </c>
      <c r="J12" s="4" t="s">
        <v>76</v>
      </c>
      <c r="K12" s="4" t="s">
        <v>77</v>
      </c>
      <c r="L12" s="4" t="s">
        <v>21</v>
      </c>
    </row>
    <row r="13" customFormat="false" ht="15" hidden="false" customHeight="false" outlineLevel="0" collapsed="false">
      <c r="A13" s="5" t="str">
        <f aca="false">Candidatos!B6</f>
        <v>Proyector de galaxia / estrellas LED</v>
      </c>
      <c r="B13" s="17" t="n">
        <v>0.25</v>
      </c>
      <c r="C13" s="9" t="n">
        <f aca="false">$B$10*B13</f>
        <v>80000000</v>
      </c>
      <c r="D13" s="9" t="n">
        <f aca="false">Candidatos!H6</f>
        <v>109900</v>
      </c>
      <c r="E13" s="19" t="n">
        <f aca="false">IF(D13=0,0,C13/D13)</f>
        <v>727.934485896269</v>
      </c>
      <c r="F13" s="9" t="n">
        <f aca="false">E13*Candidatos!F6</f>
        <v>21110100.0909918</v>
      </c>
      <c r="G13" s="9" t="n">
        <f aca="false">E13*Candidatos!G6</f>
        <v>10919017.288444</v>
      </c>
      <c r="H13" s="9" t="n">
        <f aca="false">C13*Candidatos!I6</f>
        <v>2800000</v>
      </c>
      <c r="I13" s="9" t="n">
        <f aca="false">E13*Candidatos!J6*Candidatos!K6</f>
        <v>4367606.91537762</v>
      </c>
      <c r="J13" s="9" t="n">
        <f aca="false">E13*Candidatos!Q6</f>
        <v>33776160.1455869</v>
      </c>
      <c r="K13" s="12" t="n">
        <f aca="false">C13-F13-G13-H13-I13-J13</f>
        <v>7027115.55959964</v>
      </c>
      <c r="L13" s="10" t="n">
        <f aca="false">IF(C13=0,0,K13/C13)</f>
        <v>0.0878389444949955</v>
      </c>
    </row>
    <row r="14" customFormat="false" ht="15" hidden="false" customHeight="false" outlineLevel="0" collapsed="false">
      <c r="A14" s="5" t="str">
        <f aca="false">Candidatos!B7</f>
        <v>Masajeador de cuello / espalda (EMS)</v>
      </c>
      <c r="B14" s="17" t="n">
        <v>0.25</v>
      </c>
      <c r="C14" s="9" t="n">
        <f aca="false">$B$10*B14</f>
        <v>80000000</v>
      </c>
      <c r="D14" s="9" t="n">
        <f aca="false">Candidatos!H7</f>
        <v>129900</v>
      </c>
      <c r="E14" s="19" t="n">
        <f aca="false">IF(D14=0,0,C14/D14)</f>
        <v>615.858352578907</v>
      </c>
      <c r="F14" s="9" t="n">
        <f aca="false">E14*Candidatos!F7</f>
        <v>21555042.3402617</v>
      </c>
      <c r="G14" s="9" t="n">
        <f aca="false">E14*Candidatos!G7</f>
        <v>9237875.2886836</v>
      </c>
      <c r="H14" s="9" t="n">
        <f aca="false">C14*Candidatos!I7</f>
        <v>2800000</v>
      </c>
      <c r="I14" s="9" t="n">
        <f aca="false">E14*Candidatos!J7*Candidatos!K7</f>
        <v>3695150.11547344</v>
      </c>
      <c r="J14" s="9" t="n">
        <f aca="false">E14*Candidatos!Q7</f>
        <v>34488067.7444188</v>
      </c>
      <c r="K14" s="12" t="n">
        <f aca="false">C14-F14-G14-H14-I14-J14</f>
        <v>8223864.51116243</v>
      </c>
      <c r="L14" s="10" t="n">
        <f aca="false">IF(C14=0,0,K14/C14)</f>
        <v>0.10279830638953</v>
      </c>
    </row>
    <row r="15" customFormat="false" ht="15" hidden="false" customHeight="false" outlineLevel="0" collapsed="false">
      <c r="A15" s="5" t="str">
        <f aca="false">Candidatos!B8</f>
        <v>Audífonos Bluetooth (TWS)</v>
      </c>
      <c r="B15" s="17" t="n">
        <v>0.2</v>
      </c>
      <c r="C15" s="9" t="n">
        <f aca="false">$B$10*B15</f>
        <v>64000000</v>
      </c>
      <c r="D15" s="9" t="n">
        <f aca="false">Candidatos!H8</f>
        <v>94900</v>
      </c>
      <c r="E15" s="19" t="n">
        <f aca="false">IF(D15=0,0,C15/D15)</f>
        <v>674.394099051633</v>
      </c>
      <c r="F15" s="9" t="n">
        <f aca="false">E15*Candidatos!F8</f>
        <v>17534246.5753425</v>
      </c>
      <c r="G15" s="9" t="n">
        <f aca="false">E15*Candidatos!G8</f>
        <v>10115911.4857745</v>
      </c>
      <c r="H15" s="9" t="n">
        <f aca="false">C15*Candidatos!I8</f>
        <v>2240000</v>
      </c>
      <c r="I15" s="9" t="n">
        <f aca="false">E15*Candidatos!J8*Candidatos!K8</f>
        <v>4046364.5943098</v>
      </c>
      <c r="J15" s="9" t="n">
        <f aca="false">E15*Candidatos!Q8</f>
        <v>34528977.8714436</v>
      </c>
      <c r="K15" s="12" t="n">
        <f aca="false">C15-F15-G15-H15-I15-J15</f>
        <v>-4465500.52687039</v>
      </c>
      <c r="L15" s="10" t="n">
        <f aca="false">IF(C15=0,0,K15/C15)</f>
        <v>-0.0697734457323498</v>
      </c>
    </row>
    <row r="16" customFormat="false" ht="15" hidden="false" customHeight="false" outlineLevel="0" collapsed="false">
      <c r="A16" s="5" t="str">
        <f aca="false">Candidatos!B9</f>
        <v>Kit facial gua sha + rodillo + limpiador</v>
      </c>
      <c r="B16" s="17" t="n">
        <v>0.15</v>
      </c>
      <c r="C16" s="9" t="n">
        <f aca="false">$B$10*B16</f>
        <v>48000000</v>
      </c>
      <c r="D16" s="9" t="n">
        <f aca="false">Candidatos!H9</f>
        <v>79900</v>
      </c>
      <c r="E16" s="19" t="n">
        <f aca="false">IF(D16=0,0,C16/D16)</f>
        <v>600.750938673342</v>
      </c>
      <c r="F16" s="9" t="n">
        <f aca="false">E16*Candidatos!F9</f>
        <v>9612015.01877347</v>
      </c>
      <c r="G16" s="9" t="n">
        <f aca="false">E16*Candidatos!G9</f>
        <v>9011264.08010013</v>
      </c>
      <c r="H16" s="9" t="n">
        <f aca="false">C16*Candidatos!I9</f>
        <v>1680000</v>
      </c>
      <c r="I16" s="9" t="n">
        <f aca="false">E16*Candidatos!J9*Candidatos!K9</f>
        <v>3604505.63204005</v>
      </c>
      <c r="J16" s="9" t="n">
        <f aca="false">E16*Candidatos!Q9</f>
        <v>21146433.0413016</v>
      </c>
      <c r="K16" s="12" t="n">
        <f aca="false">C16-F16-G16-H16-I16-J16</f>
        <v>2945782.22778473</v>
      </c>
      <c r="L16" s="10" t="n">
        <f aca="false">IF(C16=0,0,K16/C16)</f>
        <v>0.0613704630788486</v>
      </c>
    </row>
    <row r="17" customFormat="false" ht="15" hidden="false" customHeight="false" outlineLevel="0" collapsed="false">
      <c r="A17" s="5" t="str">
        <f aca="false">Candidatos!B10</f>
        <v>Cepillo quitapelos autolimpiante mascotas</v>
      </c>
      <c r="B17" s="17" t="n">
        <v>0.15</v>
      </c>
      <c r="C17" s="9" t="n">
        <f aca="false">$B$10*B17</f>
        <v>48000000</v>
      </c>
      <c r="D17" s="9" t="n">
        <f aca="false">Candidatos!H10</f>
        <v>64900</v>
      </c>
      <c r="E17" s="19" t="n">
        <f aca="false">IF(D17=0,0,C17/D17)</f>
        <v>739.59938366718</v>
      </c>
      <c r="F17" s="9" t="n">
        <f aca="false">E17*Candidatos!F10</f>
        <v>8135593.22033898</v>
      </c>
      <c r="G17" s="9" t="n">
        <f aca="false">E17*Candidatos!G10</f>
        <v>11093990.7550077</v>
      </c>
      <c r="H17" s="9" t="n">
        <f aca="false">C17*Candidatos!I10</f>
        <v>1680000</v>
      </c>
      <c r="I17" s="9" t="n">
        <f aca="false">E17*Candidatos!J10*Candidatos!K10</f>
        <v>4437596.30200308</v>
      </c>
      <c r="J17" s="9" t="n">
        <f aca="false">E17*Candidatos!Q10</f>
        <v>22483821.2634823</v>
      </c>
      <c r="K17" s="12" t="n">
        <f aca="false">C17-F17-G17-H17-I17-J17</f>
        <v>168998.459167946</v>
      </c>
      <c r="L17" s="10" t="n">
        <f aca="false">IF(C17=0,0,K17/C17)</f>
        <v>0.00352080123266554</v>
      </c>
    </row>
    <row r="18" customFormat="false" ht="15" hidden="false" customHeight="false" outlineLevel="0" collapsed="false">
      <c r="A18" s="13" t="s">
        <v>78</v>
      </c>
      <c r="B18" s="20" t="n">
        <f aca="false">SUM(B13:B17)</f>
        <v>1</v>
      </c>
      <c r="C18" s="12" t="n">
        <f aca="false">SUM(C13:C17)</f>
        <v>320000000</v>
      </c>
      <c r="D18" s="5"/>
      <c r="E18" s="21" t="n">
        <f aca="false">SUM(E13:E17)</f>
        <v>3358.53725986733</v>
      </c>
      <c r="F18" s="12" t="n">
        <f aca="false">SUM(F13:F17)</f>
        <v>77946997.2457085</v>
      </c>
      <c r="G18" s="12" t="n">
        <f aca="false">SUM(G13:G17)</f>
        <v>50378058.89801</v>
      </c>
      <c r="H18" s="12" t="n">
        <f aca="false">SUM(H13:H17)</f>
        <v>11200000</v>
      </c>
      <c r="I18" s="12" t="n">
        <f aca="false">SUM(I13:I17)</f>
        <v>20151223.559204</v>
      </c>
      <c r="J18" s="12" t="n">
        <f aca="false">SUM(J13:J17)</f>
        <v>146423460.066233</v>
      </c>
      <c r="K18" s="12" t="n">
        <f aca="false">SUM(K13:K17)</f>
        <v>13900260.2308444</v>
      </c>
      <c r="L18" s="22" t="n">
        <f aca="false">IF(C18=0,0,K18/C18)</f>
        <v>0.0434383132213886</v>
      </c>
    </row>
    <row r="19" customFormat="false" ht="15" hidden="false" customHeight="false" outlineLevel="0" collapsed="false">
      <c r="A19" s="2" t="s">
        <v>79</v>
      </c>
    </row>
    <row r="21" customFormat="false" ht="15" hidden="false" customHeight="false" outlineLevel="0" collapsed="false">
      <c r="A21" s="23" t="s">
        <v>80</v>
      </c>
      <c r="B21" s="24"/>
      <c r="C21" s="24"/>
    </row>
    <row r="22" customFormat="false" ht="15" hidden="false" customHeight="false" outlineLevel="0" collapsed="false">
      <c r="A22" s="15" t="s">
        <v>81</v>
      </c>
      <c r="B22" s="9" t="n">
        <f aca="false">K18</f>
        <v>13900260.2308444</v>
      </c>
    </row>
    <row r="23" customFormat="false" ht="15" hidden="false" customHeight="false" outlineLevel="0" collapsed="false">
      <c r="A23" s="15" t="s">
        <v>82</v>
      </c>
      <c r="B23" s="9" t="n">
        <f aca="false">B6</f>
        <v>2000000</v>
      </c>
    </row>
    <row r="24" customFormat="false" ht="15" hidden="false" customHeight="false" outlineLevel="0" collapsed="false">
      <c r="A24" s="25" t="s">
        <v>83</v>
      </c>
      <c r="B24" s="12" t="n">
        <f aca="false">B22-B23</f>
        <v>11900260.2308444</v>
      </c>
    </row>
    <row r="25" customFormat="false" ht="15" hidden="false" customHeight="false" outlineLevel="0" collapsed="false">
      <c r="A25" s="15" t="s">
        <v>84</v>
      </c>
      <c r="B25" s="9" t="n">
        <f aca="false">F18+G18+H18+I18+J18+B6</f>
        <v>308099739.769156</v>
      </c>
    </row>
    <row r="26" customFormat="false" ht="15" hidden="false" customHeight="false" outlineLevel="0" collapsed="false">
      <c r="A26" s="15" t="s">
        <v>85</v>
      </c>
      <c r="B26" s="11" t="n">
        <f aca="false">IF(J18=0,0,C18/J18)</f>
        <v>2.18544214059175</v>
      </c>
    </row>
    <row r="28" customFormat="false" ht="15" hidden="false" customHeight="false" outlineLevel="0" collapsed="false">
      <c r="A28" s="23" t="s">
        <v>86</v>
      </c>
      <c r="B28" s="24"/>
      <c r="C28" s="24"/>
    </row>
    <row r="29" customFormat="false" ht="15" hidden="false" customHeight="false" outlineLevel="0" collapsed="false">
      <c r="A29" s="15" t="s">
        <v>87</v>
      </c>
      <c r="B29" s="26" t="n">
        <f aca="false">MAX(B8-B7,1)</f>
        <v>80</v>
      </c>
    </row>
    <row r="30" customFormat="false" ht="15" hidden="false" customHeight="false" outlineLevel="0" collapsed="false">
      <c r="A30" s="15" t="s">
        <v>88</v>
      </c>
      <c r="B30" s="9" t="n">
        <f aca="false">B10/B29</f>
        <v>4000000</v>
      </c>
    </row>
    <row r="31" customFormat="false" ht="15" hidden="false" customHeight="false" outlineLevel="0" collapsed="false">
      <c r="A31" s="15" t="s">
        <v>89</v>
      </c>
      <c r="B31" s="27" t="n">
        <f aca="false">E18/B29</f>
        <v>41.9817157483416</v>
      </c>
    </row>
    <row r="32" customFormat="false" ht="15" hidden="false" customHeight="false" outlineLevel="0" collapsed="false">
      <c r="A32" s="15" t="s">
        <v>90</v>
      </c>
      <c r="B32" s="9" t="n">
        <f aca="false">J18/B29</f>
        <v>1830293.25082792</v>
      </c>
    </row>
    <row r="34" customFormat="false" ht="15" hidden="false" customHeight="false" outlineLevel="0" collapsed="false">
      <c r="A34" s="23" t="s">
        <v>91</v>
      </c>
      <c r="B34" s="24"/>
      <c r="C34" s="24"/>
    </row>
    <row r="35" customFormat="false" ht="15" hidden="false" customHeight="false" outlineLevel="0" collapsed="false">
      <c r="A35" s="15" t="s">
        <v>92</v>
      </c>
      <c r="B35" s="9" t="n">
        <f aca="false">J18</f>
        <v>146423460.066233</v>
      </c>
    </row>
    <row r="36" customFormat="false" ht="15" hidden="false" customHeight="false" outlineLevel="0" collapsed="false">
      <c r="A36" s="2" t="s">
        <v>93</v>
      </c>
    </row>
  </sheetData>
  <conditionalFormatting sqref="B18">
    <cfRule type="cellIs" priority="2" operator="not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1" min="10" style="0" width="15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45.75" hidden="false" customHeight="true" outlineLevel="0" collapsed="false">
      <c r="A4" s="4" t="s">
        <v>96</v>
      </c>
      <c r="B4" s="4" t="s">
        <v>97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14</v>
      </c>
      <c r="I4" s="4" t="s">
        <v>15</v>
      </c>
      <c r="J4" s="4" t="s">
        <v>103</v>
      </c>
      <c r="K4" s="4" t="s">
        <v>77</v>
      </c>
      <c r="L4" s="4" t="s">
        <v>104</v>
      </c>
    </row>
    <row r="5" customFormat="false" ht="39.75" hidden="false" customHeight="true" outlineLevel="0" collapsed="false">
      <c r="A5" s="18" t="n">
        <v>46326</v>
      </c>
      <c r="B5" s="28" t="s">
        <v>105</v>
      </c>
      <c r="C5" s="6" t="s">
        <v>106</v>
      </c>
      <c r="D5" s="6" t="s">
        <v>107</v>
      </c>
      <c r="E5" s="29" t="n">
        <v>5</v>
      </c>
      <c r="F5" s="17" t="n">
        <v>0</v>
      </c>
      <c r="G5" s="9" t="n">
        <f aca="false">INDEX(Candidatos!$H$6:$H$10,E5)*(1-F5)</f>
        <v>64900</v>
      </c>
      <c r="H5" s="9" t="n">
        <f aca="false">G5-INDEX(Candidatos!$F$6:$F$10,E5)-INDEX(Candidatos!$G$6:$G$10,E5)-G5*INDEX(Candidatos!$I$6:$I$10,E5)-INDEX(Candidatos!$J$6:$J$10,E5)*INDEX(Candidatos!$K$6:$K$10,E5)</f>
        <v>30628.5</v>
      </c>
      <c r="I5" s="10" t="n">
        <f aca="false">IF(G5=0,0,H5/G5)</f>
        <v>0.47193374422188</v>
      </c>
      <c r="J5" s="9" t="n">
        <f aca="false">INDEX(Candidatos!$Q$6:$Q$10,E5)</f>
        <v>30400</v>
      </c>
      <c r="K5" s="12" t="n">
        <f aca="false">H5-J5</f>
        <v>228.5</v>
      </c>
      <c r="L5" s="13" t="str">
        <f aca="false">IF(K5&lt;=0,"NO: pierdes dinero",IF(K5/G5&gt;=0.08,"SÍ","Justo: solo para captar clientes"))</f>
        <v>Justo: solo para captar clientes</v>
      </c>
    </row>
    <row r="6" customFormat="false" ht="39.75" hidden="false" customHeight="true" outlineLevel="0" collapsed="false">
      <c r="A6" s="18" t="n">
        <v>46337</v>
      </c>
      <c r="B6" s="28" t="s">
        <v>108</v>
      </c>
      <c r="C6" s="6" t="s">
        <v>109</v>
      </c>
      <c r="D6" s="6" t="s">
        <v>110</v>
      </c>
      <c r="E6" s="29" t="n">
        <v>4</v>
      </c>
      <c r="F6" s="17" t="n">
        <v>0.05</v>
      </c>
      <c r="G6" s="9" t="n">
        <f aca="false">INDEX(Candidatos!$H$6:$H$10,E6)*(1-F6)</f>
        <v>75905</v>
      </c>
      <c r="H6" s="9" t="n">
        <f aca="false">G6-INDEX(Candidatos!$F$6:$F$10,E6)-INDEX(Candidatos!$G$6:$G$10,E6)-G6*INDEX(Candidatos!$I$6:$I$10,E6)-INDEX(Candidatos!$J$6:$J$10,E6)*INDEX(Candidatos!$K$6:$K$10,E6)</f>
        <v>36248.325</v>
      </c>
      <c r="I6" s="10" t="n">
        <f aca="false">IF(G6=0,0,H6/G6)</f>
        <v>0.47754858046242</v>
      </c>
      <c r="J6" s="9" t="n">
        <f aca="false">INDEX(Candidatos!$Q$6:$Q$10,E6)</f>
        <v>35200</v>
      </c>
      <c r="K6" s="12" t="n">
        <f aca="false">H6-J6</f>
        <v>1048.325</v>
      </c>
      <c r="L6" s="13" t="str">
        <f aca="false">IF(K6&lt;=0,"NO: pierdes dinero",IF(K6/G6&gt;=0.08,"SÍ","Justo: solo para captar clientes"))</f>
        <v>Justo: solo para captar clientes</v>
      </c>
    </row>
    <row r="7" customFormat="false" ht="39.75" hidden="false" customHeight="true" outlineLevel="0" collapsed="false">
      <c r="A7" s="18" t="n">
        <v>46346</v>
      </c>
      <c r="B7" s="28" t="s">
        <v>108</v>
      </c>
      <c r="C7" s="6" t="s">
        <v>111</v>
      </c>
      <c r="D7" s="6" t="s">
        <v>112</v>
      </c>
      <c r="E7" s="29" t="n">
        <v>2</v>
      </c>
      <c r="F7" s="17" t="n">
        <v>0.05</v>
      </c>
      <c r="G7" s="9" t="n">
        <f aca="false">INDEX(Candidatos!$H$6:$H$10,E7)*(1-F7)</f>
        <v>123405</v>
      </c>
      <c r="H7" s="9" t="n">
        <f aca="false">G7-INDEX(Candidatos!$F$6:$F$10,E7)-INDEX(Candidatos!$G$6:$G$10,E7)-G7*INDEX(Candidatos!$I$6:$I$10,E7)-INDEX(Candidatos!$J$6:$J$10,E7)*INDEX(Candidatos!$K$6:$K$10,E7)</f>
        <v>63085.825</v>
      </c>
      <c r="I7" s="10" t="n">
        <f aca="false">IF(G7=0,0,H7/G7)</f>
        <v>0.511209634941858</v>
      </c>
      <c r="J7" s="9" t="n">
        <f aca="false">INDEX(Candidatos!$Q$6:$Q$10,E7)</f>
        <v>56000</v>
      </c>
      <c r="K7" s="12" t="n">
        <f aca="false">H7-J7</f>
        <v>7085.825</v>
      </c>
      <c r="L7" s="13" t="str">
        <f aca="false">IF(K7&lt;=0,"NO: pierdes dinero",IF(K7/G7&gt;=0.08,"SÍ","Justo: solo para captar clientes"))</f>
        <v>Justo: solo para captar clientes</v>
      </c>
    </row>
    <row r="8" customFormat="false" ht="39.75" hidden="false" customHeight="true" outlineLevel="0" collapsed="false">
      <c r="A8" s="18" t="n">
        <v>46353</v>
      </c>
      <c r="B8" s="28" t="s">
        <v>108</v>
      </c>
      <c r="C8" s="6" t="s">
        <v>113</v>
      </c>
      <c r="D8" s="6" t="s">
        <v>114</v>
      </c>
      <c r="E8" s="29" t="n">
        <v>2</v>
      </c>
      <c r="F8" s="17" t="n">
        <v>0.1</v>
      </c>
      <c r="G8" s="9" t="n">
        <f aca="false">INDEX(Candidatos!$H$6:$H$10,E8)*(1-F8)</f>
        <v>116910</v>
      </c>
      <c r="H8" s="9" t="n">
        <f aca="false">G8-INDEX(Candidatos!$F$6:$F$10,E8)-INDEX(Candidatos!$G$6:$G$10,E8)-G8*INDEX(Candidatos!$I$6:$I$10,E8)-INDEX(Candidatos!$J$6:$J$10,E8)*INDEX(Candidatos!$K$6:$K$10,E8)</f>
        <v>56818.15</v>
      </c>
      <c r="I8" s="10" t="n">
        <f aca="false">IF(G8=0,0,H8/G8)</f>
        <v>0.485999059105295</v>
      </c>
      <c r="J8" s="9" t="n">
        <f aca="false">INDEX(Candidatos!$Q$6:$Q$10,E8)</f>
        <v>56000</v>
      </c>
      <c r="K8" s="12" t="n">
        <f aca="false">H8-J8</f>
        <v>818.150000000002</v>
      </c>
      <c r="L8" s="13" t="str">
        <f aca="false">IF(K8&lt;=0,"NO: pierdes dinero",IF(K8/G8&gt;=0.08,"SÍ","Justo: solo para captar clientes"))</f>
        <v>Justo: solo para captar clientes</v>
      </c>
    </row>
    <row r="9" customFormat="false" ht="39.75" hidden="false" customHeight="true" outlineLevel="0" collapsed="false">
      <c r="A9" s="18" t="n">
        <v>46356</v>
      </c>
      <c r="B9" s="28" t="s">
        <v>108</v>
      </c>
      <c r="C9" s="6" t="s">
        <v>115</v>
      </c>
      <c r="D9" s="6" t="s">
        <v>116</v>
      </c>
      <c r="E9" s="29" t="n">
        <v>1</v>
      </c>
      <c r="F9" s="17" t="n">
        <v>0.05</v>
      </c>
      <c r="G9" s="9" t="n">
        <f aca="false">INDEX(Candidatos!$H$6:$H$10,E9)*(1-F9)</f>
        <v>104405</v>
      </c>
      <c r="H9" s="9" t="n">
        <f aca="false">G9-INDEX(Candidatos!$F$6:$F$10,E9)-INDEX(Candidatos!$G$6:$G$10,E9)-G9*INDEX(Candidatos!$I$6:$I$10,E9)-INDEX(Candidatos!$J$6:$J$10,E9)*INDEX(Candidatos!$K$6:$K$10,E9)</f>
        <v>50750.825</v>
      </c>
      <c r="I9" s="10" t="n">
        <f aca="false">IF(G9=0,0,H9/G9)</f>
        <v>0.486095732962981</v>
      </c>
      <c r="J9" s="9" t="n">
        <f aca="false">INDEX(Candidatos!$Q$6:$Q$10,E9)</f>
        <v>46400</v>
      </c>
      <c r="K9" s="12" t="n">
        <f aca="false">H9-J9</f>
        <v>4350.825</v>
      </c>
      <c r="L9" s="13" t="str">
        <f aca="false">IF(K9&lt;=0,"NO: pierdes dinero",IF(K9/G9&gt;=0.08,"SÍ","Justo: solo para captar clientes"))</f>
        <v>Justo: solo para captar clientes</v>
      </c>
    </row>
    <row r="10" customFormat="false" ht="39.75" hidden="false" customHeight="true" outlineLevel="0" collapsed="false">
      <c r="A10" s="18" t="n">
        <v>46370</v>
      </c>
      <c r="B10" s="28" t="s">
        <v>117</v>
      </c>
      <c r="C10" s="6" t="s">
        <v>118</v>
      </c>
      <c r="D10" s="6" t="s">
        <v>119</v>
      </c>
      <c r="E10" s="29" t="n">
        <v>2</v>
      </c>
      <c r="F10" s="17" t="n">
        <v>0</v>
      </c>
      <c r="G10" s="9" t="n">
        <f aca="false">INDEX(Candidatos!$H$6:$H$10,E10)*(1-F10)</f>
        <v>129900</v>
      </c>
      <c r="H10" s="9" t="n">
        <f aca="false">G10-INDEX(Candidatos!$F$6:$F$10,E10)-INDEX(Candidatos!$G$6:$G$10,E10)-G10*INDEX(Candidatos!$I$6:$I$10,E10)-INDEX(Candidatos!$J$6:$J$10,E10)*INDEX(Candidatos!$K$6:$K$10,E10)</f>
        <v>69353.5</v>
      </c>
      <c r="I10" s="10" t="n">
        <f aca="false">IF(G10=0,0,H10/G10)</f>
        <v>0.533899153194765</v>
      </c>
      <c r="J10" s="9" t="n">
        <f aca="false">INDEX(Candidatos!$Q$6:$Q$10,E10)</f>
        <v>56000</v>
      </c>
      <c r="K10" s="12" t="n">
        <f aca="false">H10-J10</f>
        <v>13353.5</v>
      </c>
      <c r="L10" s="13" t="str">
        <f aca="false">IF(K10&lt;=0,"NO: pierdes dinero",IF(K10/G10&gt;=0.08,"SÍ","Justo: solo para captar clientes"))</f>
        <v>SÍ</v>
      </c>
    </row>
    <row r="11" customFormat="false" ht="39.75" hidden="false" customHeight="true" outlineLevel="0" collapsed="false">
      <c r="A11" s="18" t="n">
        <v>46374</v>
      </c>
      <c r="B11" s="28" t="s">
        <v>117</v>
      </c>
      <c r="C11" s="6" t="s">
        <v>120</v>
      </c>
      <c r="D11" s="6" t="s">
        <v>121</v>
      </c>
      <c r="E11" s="29" t="n">
        <v>2</v>
      </c>
      <c r="F11" s="17" t="n">
        <v>0</v>
      </c>
      <c r="G11" s="9" t="n">
        <f aca="false">INDEX(Candidatos!$H$6:$H$10,E11)*(1-F11)</f>
        <v>129900</v>
      </c>
      <c r="H11" s="9" t="n">
        <f aca="false">G11-INDEX(Candidatos!$F$6:$F$10,E11)-INDEX(Candidatos!$G$6:$G$10,E11)-G11*INDEX(Candidatos!$I$6:$I$10,E11)-INDEX(Candidatos!$J$6:$J$10,E11)*INDEX(Candidatos!$K$6:$K$10,E11)</f>
        <v>69353.5</v>
      </c>
      <c r="I11" s="10" t="n">
        <f aca="false">IF(G11=0,0,H11/G11)</f>
        <v>0.533899153194765</v>
      </c>
      <c r="J11" s="9" t="n">
        <f aca="false">INDEX(Candidatos!$Q$6:$Q$10,E11)</f>
        <v>56000</v>
      </c>
      <c r="K11" s="12" t="n">
        <f aca="false">H11-J11</f>
        <v>13353.5</v>
      </c>
      <c r="L11" s="13" t="str">
        <f aca="false">IF(K11&lt;=0,"NO: pierdes dinero",IF(K11/G11&gt;=0.08,"SÍ","Justo: solo para captar clientes"))</f>
        <v>SÍ</v>
      </c>
    </row>
    <row r="12" customFormat="false" ht="39.75" hidden="false" customHeight="true" outlineLevel="0" collapsed="false">
      <c r="A12" s="18" t="n">
        <v>46384</v>
      </c>
      <c r="B12" s="28" t="s">
        <v>117</v>
      </c>
      <c r="C12" s="6" t="s">
        <v>122</v>
      </c>
      <c r="D12" s="6" t="s">
        <v>123</v>
      </c>
      <c r="E12" s="29" t="n">
        <v>5</v>
      </c>
      <c r="F12" s="17" t="n">
        <v>0</v>
      </c>
      <c r="G12" s="9" t="n">
        <f aca="false">INDEX(Candidatos!$H$6:$H$10,E12)*(1-F12)</f>
        <v>64900</v>
      </c>
      <c r="H12" s="9" t="n">
        <f aca="false">G12-INDEX(Candidatos!$F$6:$F$10,E12)-INDEX(Candidatos!$G$6:$G$10,E12)-G12*INDEX(Candidatos!$I$6:$I$10,E12)-INDEX(Candidatos!$J$6:$J$10,E12)*INDEX(Candidatos!$K$6:$K$10,E12)</f>
        <v>30628.5</v>
      </c>
      <c r="I12" s="10" t="n">
        <f aca="false">IF(G12=0,0,H12/G12)</f>
        <v>0.47193374422188</v>
      </c>
      <c r="J12" s="9" t="n">
        <f aca="false">INDEX(Candidatos!$Q$6:$Q$10,E12)</f>
        <v>30400</v>
      </c>
      <c r="K12" s="12" t="n">
        <f aca="false">H12-J12</f>
        <v>228.5</v>
      </c>
      <c r="L12" s="13" t="str">
        <f aca="false">IF(K12&lt;=0,"NO: pierdes dinero",IF(K12/G12&gt;=0.08,"SÍ","Justo: solo para captar clientes"))</f>
        <v>Justo: solo para captar clientes</v>
      </c>
    </row>
    <row r="13" customFormat="false" ht="15" hidden="false" customHeight="false" outlineLevel="0" collapsed="false">
      <c r="A13" s="2" t="s">
        <v>124</v>
      </c>
    </row>
    <row r="15" customFormat="false" ht="15" hidden="false" customHeight="false" outlineLevel="0" collapsed="false">
      <c r="A15" s="23" t="s">
        <v>125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customFormat="false" ht="45.75" hidden="false" customHeight="true" outlineLevel="0" collapsed="false">
      <c r="A16" s="4" t="s">
        <v>100</v>
      </c>
      <c r="B16" s="4" t="s">
        <v>126</v>
      </c>
      <c r="C16" s="4"/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4" t="s">
        <v>14</v>
      </c>
      <c r="J16" s="4" t="s">
        <v>132</v>
      </c>
      <c r="K16" s="4" t="s">
        <v>77</v>
      </c>
      <c r="L16" s="4" t="s">
        <v>21</v>
      </c>
    </row>
    <row r="17" customFormat="false" ht="15" hidden="false" customHeight="false" outlineLevel="0" collapsed="false">
      <c r="A17" s="29" t="n">
        <v>5</v>
      </c>
      <c r="B17" s="29" t="n">
        <v>2</v>
      </c>
      <c r="C17" s="5"/>
      <c r="D17" s="7" t="n">
        <v>119900</v>
      </c>
      <c r="E17" s="9" t="n">
        <f aca="false">INDEX(Candidatos!$F$6:$F$10,A17)*B17</f>
        <v>22000</v>
      </c>
      <c r="F17" s="7" t="n">
        <v>18000</v>
      </c>
      <c r="G17" s="9" t="n">
        <f aca="false">D17*INDEX(Candidatos!$I$6:$I$10,A17)</f>
        <v>4196.5</v>
      </c>
      <c r="H17" s="9" t="n">
        <f aca="false">INDEX(Candidatos!$J$6:$J$10,A17)*(F17*2)</f>
        <v>7200</v>
      </c>
      <c r="I17" s="9" t="n">
        <f aca="false">D17-E17-F17-G17-H17</f>
        <v>68503.5</v>
      </c>
      <c r="J17" s="9" t="n">
        <f aca="false">INDEX(Candidatos!$Q$6:$Q$10,A17)</f>
        <v>30400</v>
      </c>
      <c r="K17" s="12" t="n">
        <f aca="false">I17-J17</f>
        <v>38103.5</v>
      </c>
      <c r="L17" s="10" t="n">
        <f aca="false">IF(D17=0,0,K17/D17)</f>
        <v>0.31779399499583</v>
      </c>
    </row>
    <row r="18" customFormat="false" ht="15" hidden="false" customHeight="false" outlineLevel="0" collapsed="false">
      <c r="A18" s="29" t="n">
        <v>2</v>
      </c>
      <c r="B18" s="29" t="n">
        <v>2</v>
      </c>
      <c r="C18" s="5"/>
      <c r="D18" s="7" t="n">
        <v>239900</v>
      </c>
      <c r="E18" s="9" t="n">
        <f aca="false">INDEX(Candidatos!$F$6:$F$10,A18)*B18</f>
        <v>70000</v>
      </c>
      <c r="F18" s="7" t="n">
        <v>19000</v>
      </c>
      <c r="G18" s="9" t="n">
        <f aca="false">D18*INDEX(Candidatos!$I$6:$I$10,A18)</f>
        <v>8396.5</v>
      </c>
      <c r="H18" s="9" t="n">
        <f aca="false">INDEX(Candidatos!$J$6:$J$10,A18)*(F18*2)</f>
        <v>7600</v>
      </c>
      <c r="I18" s="9" t="n">
        <f aca="false">D18-E18-F18-G18-H18</f>
        <v>134903.5</v>
      </c>
      <c r="J18" s="9" t="n">
        <f aca="false">INDEX(Candidatos!$Q$6:$Q$10,A18)</f>
        <v>56000</v>
      </c>
      <c r="K18" s="12" t="n">
        <f aca="false">I18-J18</f>
        <v>78903.5</v>
      </c>
      <c r="L18" s="10" t="n">
        <f aca="false">IF(D18=0,0,K18/D18)</f>
        <v>0.328901625677366</v>
      </c>
    </row>
    <row r="19" customFormat="false" ht="15" hidden="false" customHeight="false" outlineLevel="0" collapsed="false">
      <c r="A19" s="29" t="n">
        <v>1</v>
      </c>
      <c r="B19" s="29" t="n">
        <v>2</v>
      </c>
      <c r="C19" s="5"/>
      <c r="D19" s="7" t="n">
        <v>199900</v>
      </c>
      <c r="E19" s="9" t="n">
        <f aca="false">INDEX(Candidatos!$F$6:$F$10,A19)*B19</f>
        <v>58000</v>
      </c>
      <c r="F19" s="7" t="n">
        <v>18000</v>
      </c>
      <c r="G19" s="9" t="n">
        <f aca="false">D19*INDEX(Candidatos!$I$6:$I$10,A19)</f>
        <v>6996.5</v>
      </c>
      <c r="H19" s="9" t="n">
        <f aca="false">INDEX(Candidatos!$J$6:$J$10,A19)*(F19*2)</f>
        <v>7200</v>
      </c>
      <c r="I19" s="9" t="n">
        <f aca="false">D19-E19-F19-G19-H19</f>
        <v>109703.5</v>
      </c>
      <c r="J19" s="9" t="n">
        <f aca="false">INDEX(Candidatos!$Q$6:$Q$10,A19)</f>
        <v>46400</v>
      </c>
      <c r="K19" s="12" t="n">
        <f aca="false">I19-J19</f>
        <v>63303.5</v>
      </c>
      <c r="L19" s="10" t="n">
        <f aca="false">IF(D19=0,0,K19/D19)</f>
        <v>0.31667583791896</v>
      </c>
    </row>
    <row r="20" customFormat="false" ht="15" hidden="false" customHeight="false" outlineLevel="0" collapsed="false">
      <c r="A20" s="2" t="s">
        <v>133</v>
      </c>
    </row>
  </sheetData>
  <conditionalFormatting sqref="L5:L12">
    <cfRule type="expression" priority="2" aboveAverage="0" equalAverage="0" bottom="0" percent="0" rank="0" text="" dxfId="0">
      <formula>LEFT(L5,2)="SÍ"</formula>
    </cfRule>
    <cfRule type="expression" priority="3" aboveAverage="0" equalAverage="0" bottom="0" percent="0" rank="0" text="" dxfId="1">
      <formula>LEFT(L5,2)="NO"</formula>
    </cfRule>
    <cfRule type="expression" priority="4" aboveAverage="0" equalAverage="0" bottom="0" percent="0" rank="0" text="" dxfId="2">
      <formula>LEFT(L5,5)="Justo"</formula>
    </cfRule>
  </conditionalFormatting>
  <dataValidations count="1">
    <dataValidation allowBlank="false" errorStyle="stop" operator="between" showDropDown="false" showErrorMessage="false" showInputMessage="false" sqref="E5:E1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23" t="s">
        <v>136</v>
      </c>
      <c r="B4" s="24"/>
    </row>
    <row r="5" customFormat="false" ht="30" hidden="false" customHeight="true" outlineLevel="0" collapsed="false">
      <c r="A5" s="30" t="s">
        <v>137</v>
      </c>
      <c r="B5" s="31" t="s">
        <v>138</v>
      </c>
    </row>
    <row r="6" customFormat="false" ht="30" hidden="false" customHeight="true" outlineLevel="0" collapsed="false">
      <c r="A6" s="30" t="s">
        <v>139</v>
      </c>
      <c r="B6" s="31" t="s">
        <v>140</v>
      </c>
    </row>
    <row r="7" customFormat="false" ht="30" hidden="false" customHeight="true" outlineLevel="0" collapsed="false">
      <c r="A7" s="30" t="s">
        <v>141</v>
      </c>
      <c r="B7" s="31" t="s">
        <v>142</v>
      </c>
    </row>
    <row r="8" customFormat="false" ht="30" hidden="false" customHeight="true" outlineLevel="0" collapsed="false">
      <c r="A8" s="30" t="s">
        <v>143</v>
      </c>
      <c r="B8" s="31" t="s">
        <v>144</v>
      </c>
    </row>
    <row r="9" customFormat="false" ht="30" hidden="false" customHeight="true" outlineLevel="0" collapsed="false">
      <c r="A9" s="30" t="s">
        <v>145</v>
      </c>
      <c r="B9" s="31" t="s">
        <v>146</v>
      </c>
    </row>
    <row r="10" customFormat="false" ht="30" hidden="false" customHeight="true" outlineLevel="0" collapsed="false">
      <c r="A10" s="30" t="s">
        <v>147</v>
      </c>
      <c r="B10" s="31" t="s">
        <v>148</v>
      </c>
    </row>
    <row r="11" customFormat="false" ht="15" hidden="false" customHeight="false" outlineLevel="0" collapsed="false">
      <c r="A11" s="23" t="s">
        <v>149</v>
      </c>
      <c r="B11" s="24"/>
    </row>
    <row r="12" customFormat="false" ht="30" hidden="false" customHeight="true" outlineLevel="0" collapsed="false">
      <c r="A12" s="30" t="s">
        <v>105</v>
      </c>
      <c r="B12" s="31" t="s">
        <v>150</v>
      </c>
    </row>
    <row r="13" customFormat="false" ht="30" hidden="false" customHeight="true" outlineLevel="0" collapsed="false">
      <c r="A13" s="30" t="s">
        <v>108</v>
      </c>
      <c r="B13" s="31" t="s">
        <v>151</v>
      </c>
    </row>
    <row r="14" customFormat="false" ht="30" hidden="false" customHeight="true" outlineLevel="0" collapsed="false">
      <c r="A14" s="30" t="s">
        <v>117</v>
      </c>
      <c r="B14" s="31" t="s">
        <v>152</v>
      </c>
    </row>
    <row r="15" customFormat="false" ht="30" hidden="false" customHeight="true" outlineLevel="0" collapsed="false">
      <c r="A15" s="30" t="s">
        <v>153</v>
      </c>
      <c r="B15" s="31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2026-10-12T21:31:03Z</dcterms:created>
  <dc:creator>openpyxl</dc:creator>
  <dc:description/>
  <dc:language>en-US</dc:language>
  <cp:lastModifiedBy/>
  <dcterms:modified xsi:type="dcterms:W3CDTF">2026-10-12T21:31:03Z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